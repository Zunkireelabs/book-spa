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tendance" sheetId="1" r:id="rId5"/>
    <sheet state="visible" name="Sales Report" sheetId="2" r:id="rId6"/>
    <sheet state="visible" name="Booking" sheetId="3" r:id="rId7"/>
    <sheet state="visible" name="SUMMARY" sheetId="4" r:id="rId8"/>
  </sheets>
  <definedNames>
    <definedName hidden="1" localSheetId="1" name="_xlnm._FilterDatabase">'Sales Report'!$A$6:$T$78</definedName>
  </definedNames>
  <calcPr/>
</workbook>
</file>

<file path=xl/sharedStrings.xml><?xml version="1.0" encoding="utf-8"?>
<sst xmlns="http://schemas.openxmlformats.org/spreadsheetml/2006/main" count="602" uniqueCount="378">
  <si>
    <t>Attendance Sheet</t>
  </si>
  <si>
    <t>SN</t>
  </si>
  <si>
    <t>Staff On Duty</t>
  </si>
  <si>
    <t xml:space="preserve">Signature </t>
  </si>
  <si>
    <t xml:space="preserve">Check In </t>
  </si>
  <si>
    <t xml:space="preserve">Check Out </t>
  </si>
  <si>
    <t>SPA Signature Prepared By</t>
  </si>
  <si>
    <t>SPA Signature Verified By</t>
  </si>
  <si>
    <t xml:space="preserve">FO Signature </t>
  </si>
  <si>
    <t>Name:</t>
  </si>
  <si>
    <t>NUAD THAI NEPAL
Lazimpat</t>
  </si>
  <si>
    <t>Actual Price</t>
  </si>
  <si>
    <t>Billing Price</t>
  </si>
  <si>
    <t>Report No:</t>
  </si>
  <si>
    <t>Selling Price</t>
  </si>
  <si>
    <t>Price Here</t>
  </si>
  <si>
    <t>Date :</t>
  </si>
  <si>
    <t>Discount %</t>
  </si>
  <si>
    <t>Qty</t>
  </si>
  <si>
    <t>Day:</t>
  </si>
  <si>
    <t xml:space="preserve">SN </t>
  </si>
  <si>
    <t xml:space="preserve">Guest Name </t>
  </si>
  <si>
    <t>Contact Number</t>
  </si>
  <si>
    <t>Room</t>
  </si>
  <si>
    <t>Time In</t>
  </si>
  <si>
    <t>Time Out</t>
  </si>
  <si>
    <t xml:space="preserve">Service </t>
  </si>
  <si>
    <t xml:space="preserve">Qty </t>
  </si>
  <si>
    <t xml:space="preserve">Rate </t>
  </si>
  <si>
    <t>Amount</t>
  </si>
  <si>
    <t xml:space="preserve">Dis % </t>
  </si>
  <si>
    <t>Dis Amount</t>
  </si>
  <si>
    <t>Final Amount</t>
  </si>
  <si>
    <t xml:space="preserve">Offers </t>
  </si>
  <si>
    <t>Payment</t>
  </si>
  <si>
    <t xml:space="preserve">Therapist Name </t>
  </si>
  <si>
    <t>BOOKING</t>
  </si>
  <si>
    <t>Working Hrs</t>
  </si>
  <si>
    <t>Service Type</t>
  </si>
  <si>
    <t xml:space="preserve">Remarks </t>
  </si>
  <si>
    <t>S.N</t>
  </si>
  <si>
    <t>Service Name</t>
  </si>
  <si>
    <t>Working Hour</t>
  </si>
  <si>
    <t>Discount</t>
  </si>
  <si>
    <t>Staff List</t>
  </si>
  <si>
    <t>LONDON</t>
  </si>
  <si>
    <t>NUAD THAI TRADITIONAL HOT OIL MASSAGE-60 Min</t>
  </si>
  <si>
    <t>Spa</t>
  </si>
  <si>
    <t>Manager</t>
  </si>
  <si>
    <t>GANESH BISHUNKHE</t>
  </si>
  <si>
    <t>Cash</t>
  </si>
  <si>
    <t>OXFORD</t>
  </si>
  <si>
    <t>NUAD THAI TRADITIONAL HOT OIL MASSAGE-90 Min</t>
  </si>
  <si>
    <t>DOSM</t>
  </si>
  <si>
    <t>DEEPIKA TAMANG</t>
  </si>
  <si>
    <t>Nabil Card</t>
  </si>
  <si>
    <t>CHAINGMAI</t>
  </si>
  <si>
    <t>NUAD THAI TRADITIONAL HOT OIL MASSAGE-120 Min</t>
  </si>
  <si>
    <t>Owner- Sujan Sir</t>
  </si>
  <si>
    <t>ANJITA KARKI DARJI</t>
  </si>
  <si>
    <t>Global IME Card</t>
  </si>
  <si>
    <t>:</t>
  </si>
  <si>
    <t>PHUKET</t>
  </si>
  <si>
    <t>NUAD THAI TRADITIONAL MASSAGE-60 Min</t>
  </si>
  <si>
    <t>Owner- Pratik Sir</t>
  </si>
  <si>
    <t>JASMINE SHRESTHA</t>
  </si>
  <si>
    <t>Nic Asia Card</t>
  </si>
  <si>
    <t>BANGKOK</t>
  </si>
  <si>
    <t>NUAD THAI TRADITIONAL MASSAGE-90 Min</t>
  </si>
  <si>
    <t>Therapist</t>
  </si>
  <si>
    <t>NILA RAI</t>
  </si>
  <si>
    <t>Fonepay</t>
  </si>
  <si>
    <t>HUA HIN</t>
  </si>
  <si>
    <t>NUAD THAI TRADITIONAL MASSAGE-120 Min</t>
  </si>
  <si>
    <t>GRO</t>
  </si>
  <si>
    <t>PABITRA RAI</t>
  </si>
  <si>
    <t>Credit</t>
  </si>
  <si>
    <t>KATHMANDU</t>
  </si>
  <si>
    <t>HEAD/BACK, NECK &amp; SHOULDER-30 Min</t>
  </si>
  <si>
    <t>GRE</t>
  </si>
  <si>
    <t>YAMSARA ALE MAGAR</t>
  </si>
  <si>
    <t>Cheque</t>
  </si>
  <si>
    <t>LUMBININ</t>
  </si>
  <si>
    <t>HEAD/BACK, NECK &amp; SHOULDER-45 Min</t>
  </si>
  <si>
    <t>Silver Membership</t>
  </si>
  <si>
    <t>KAMALA TAMANG</t>
  </si>
  <si>
    <t>Complementary</t>
  </si>
  <si>
    <t>POKHARA</t>
  </si>
  <si>
    <t>HEAD/BACK, NECK &amp; SHOULDER-60 Min</t>
  </si>
  <si>
    <t>Hair Dresser</t>
  </si>
  <si>
    <t>MANISHA TAMANG B</t>
  </si>
  <si>
    <t>Annual Pkg</t>
  </si>
  <si>
    <t>SALONS</t>
  </si>
  <si>
    <t>FOOT REFLEXOLOGY-30 Min</t>
  </si>
  <si>
    <t>Current Offer</t>
  </si>
  <si>
    <t>MANISHA TAMANG A</t>
  </si>
  <si>
    <t>Deluxe Membership</t>
  </si>
  <si>
    <t>PMM/FACIAL</t>
  </si>
  <si>
    <t>FOOT REFLEXOLOGY-45 Min</t>
  </si>
  <si>
    <t>USHA TAMANG</t>
  </si>
  <si>
    <t>Premium Membership</t>
  </si>
  <si>
    <t>FOOT MASSAGE</t>
  </si>
  <si>
    <t>FOOT REFLEXOLOGY-60 Min</t>
  </si>
  <si>
    <t>APSARA KHATRI</t>
  </si>
  <si>
    <t>Hair Salon</t>
  </si>
  <si>
    <t>HAND REFLEXOLOGY-30 Min</t>
  </si>
  <si>
    <t>DEVINA KARKI</t>
  </si>
  <si>
    <t>Customized Voucher</t>
  </si>
  <si>
    <t>HEAD MASSAGE-30 Min</t>
  </si>
  <si>
    <t>MANJU POUDEL</t>
  </si>
  <si>
    <t>Gift Voucher</t>
  </si>
  <si>
    <t>ENERGISE BODY-90 Min</t>
  </si>
  <si>
    <t>SIRMAYA GURUNG</t>
  </si>
  <si>
    <t>ENERGISE BODY-120 Min</t>
  </si>
  <si>
    <t>NISSA KUMARI MAGAR</t>
  </si>
  <si>
    <t>RELAX BODY-90 Min</t>
  </si>
  <si>
    <t>SANTOSH KHADKA</t>
  </si>
  <si>
    <t>RELAX BODY-120 Min</t>
  </si>
  <si>
    <t>SUSHILA RAI</t>
  </si>
  <si>
    <t>PAIN RELEASE-60 Min</t>
  </si>
  <si>
    <t>ADITYA JUNG RANA</t>
  </si>
  <si>
    <t>PAIN RELEASE-90 Min</t>
  </si>
  <si>
    <t>TRISHA ACHARYA</t>
  </si>
  <si>
    <t>PAIN RELEASE-120 Min</t>
  </si>
  <si>
    <t>NIRAJ BOGATI</t>
  </si>
  <si>
    <t>BANGKOK-90 Min</t>
  </si>
  <si>
    <t>PUSHPA BARAM</t>
  </si>
  <si>
    <t>BANGKOK-120 Min</t>
  </si>
  <si>
    <t>KALA BARAM</t>
  </si>
  <si>
    <t>OXFORD-120 Min</t>
  </si>
  <si>
    <t>Spa &amp; Beauty Salon Combo</t>
  </si>
  <si>
    <t>ASHMI THING TAMANG</t>
  </si>
  <si>
    <t>OXFORD-150 Min</t>
  </si>
  <si>
    <t>ANISHA THAKURI</t>
  </si>
  <si>
    <t>LONDON-180 Min</t>
  </si>
  <si>
    <t>RABIN MAJHI</t>
  </si>
  <si>
    <t>LONDON-210 Min</t>
  </si>
  <si>
    <t>ROSHAN RAI</t>
  </si>
  <si>
    <t>PREGNANCY-Nuad Thai Traditional Hot Oil Massage</t>
  </si>
  <si>
    <t>SUMINA RAI</t>
  </si>
  <si>
    <t>PREGNANCY-Nuad Thai Traditional Foot Massage-30 Min</t>
  </si>
  <si>
    <t>PUJA TAMANG</t>
  </si>
  <si>
    <t>PREGNANCY-Nuad Thai Traditional Foot Massage-45 Min</t>
  </si>
  <si>
    <t>KAMANA THING</t>
  </si>
  <si>
    <t>NUAD THAI SIGNATURE MANICURE-60 Min</t>
  </si>
  <si>
    <t>Beauty Salon</t>
  </si>
  <si>
    <t>MUSKAN SHRESTHA</t>
  </si>
  <si>
    <t>NUAD THAI SIGNATURE PEDICURE-60 Min</t>
  </si>
  <si>
    <t>SUNITA THING</t>
  </si>
  <si>
    <t>NUAD THAI NORMAL GEL POLISH-45 Min</t>
  </si>
  <si>
    <t>MANDIRA RAI</t>
  </si>
  <si>
    <t>Facial-Shine Stop Treatment(Oily, Acnes, Open pores skin)</t>
  </si>
  <si>
    <t>DOLMA LOPCHAN</t>
  </si>
  <si>
    <t>Facial-Nacar Treatment(Lightening, Brightening, Pigmentation)</t>
  </si>
  <si>
    <t>Facial-Ocean Miracle Treatment(Anti-Ageing &amp; Firming)</t>
  </si>
  <si>
    <t>Facial-Goji Treatment(For dry skin – Antioxidant /Antioxidante)</t>
  </si>
  <si>
    <t>Facial-Purifying Treatment(For dull and dehydrated skin)</t>
  </si>
  <si>
    <t>Facial-Mini Facial(Casmara)</t>
  </si>
  <si>
    <t>Facial-Mini Facial(Lotus)</t>
  </si>
  <si>
    <t>Facial-Glowdermie Facial(Ionising facial for enhanced skin glow)</t>
  </si>
  <si>
    <t>Facial-Goldsheen(Facial incorporating actives for instant gold-like lustre)</t>
  </si>
  <si>
    <t>Facial-Dipigmentone(Exclusive treatment for removing pigmentation and other spots using advanced activities)</t>
  </si>
  <si>
    <t>Facial-Acnex(Advanced pimple &amp; acne treatment)</t>
  </si>
  <si>
    <t>Standard Hair Waxing- Full Arms</t>
  </si>
  <si>
    <t>Standard Hair Waxing- Half Arms</t>
  </si>
  <si>
    <t>Standard Hair Waxing- Under Arms</t>
  </si>
  <si>
    <t>Standard Hair Waxing- Chest</t>
  </si>
  <si>
    <t>Standard Hair Waxing- Half Leg</t>
  </si>
  <si>
    <t>Standard Hair Waxing- Full Legs</t>
  </si>
  <si>
    <t>Standard Hair Waxing- Stomach</t>
  </si>
  <si>
    <t>Standard Hair Waxing- Full Back</t>
  </si>
  <si>
    <t>Standard Hair Waxing- Bikini Line</t>
  </si>
  <si>
    <t>Standard Hair Waxing- Brazilian/Bikini Wax</t>
  </si>
  <si>
    <t>Standard Hair Wax- Full Body(Without Brazilian Wax)</t>
  </si>
  <si>
    <t>Premium Hair Waxing- Full Arms</t>
  </si>
  <si>
    <t>Premium Hair Waxing- Half Arms</t>
  </si>
  <si>
    <t>Premium Hair Waxing- Under Arms</t>
  </si>
  <si>
    <t>Premium Hair Waxing- Chest</t>
  </si>
  <si>
    <t>Premium Hair Waxing- Half Leg</t>
  </si>
  <si>
    <t>Premium Hair Waxing- Full Legs</t>
  </si>
  <si>
    <t>Premium Hair Waxing- Stomach</t>
  </si>
  <si>
    <t>Premium Hair Waxing- Full Back</t>
  </si>
  <si>
    <t>Premium Hair Waxing- Bikini Line</t>
  </si>
  <si>
    <t>Premium Hair Waxing- Brazilian/Bikini Wax</t>
  </si>
  <si>
    <t>Premium Hair Waxing- Full Body(Without Brazilian Wax)</t>
  </si>
  <si>
    <t>Threading-Side Locks</t>
  </si>
  <si>
    <t>Threading-Eyebrows</t>
  </si>
  <si>
    <t>Threading-Upper Lip</t>
  </si>
  <si>
    <t>Threading-Forehead</t>
  </si>
  <si>
    <t>Threading-Chin</t>
  </si>
  <si>
    <t xml:space="preserve">Total </t>
  </si>
  <si>
    <t>Threading-Full Face</t>
  </si>
  <si>
    <t>HIMALAYAN SALT SCRUB-60 Min+ Aromatherapy-60 Min</t>
  </si>
  <si>
    <t>HIMALAYAN SALT SCRUB-90 Min+ Aromatherapy-60 Min</t>
  </si>
  <si>
    <t>HIMALAYAN SALT SCRUB-120 Min+ Aromatherapy-60 Min</t>
  </si>
  <si>
    <t>COCONUT SCRUB WITH COFFEE-60 Min+ Aromatherapy-60 Min</t>
  </si>
  <si>
    <t>COCONUT SCRUB WITH COFFEE-90 Min+ Aromatherapy-60 Min</t>
  </si>
  <si>
    <t>COCONUT SCRUB WITH COFFEE-120 Min+ Aromatherapy-60 Min</t>
  </si>
  <si>
    <t>ROSE BODY SCRUB-60 Min+ Aromatherapy-60 Min</t>
  </si>
  <si>
    <t>ROSE BODY SCRUB-90 Min+ Aromatherapy-60 Min</t>
  </si>
  <si>
    <t>ROSE BODY SCRUB-120 Min+ Aromatherapy-60 Min</t>
  </si>
  <si>
    <t>JASMINE BODY SCRUB-60 Min+ Aromatherapy-60 Min</t>
  </si>
  <si>
    <t>JASMINE BODY SCRUB-90 Min+ Aromatherapy-60 Min</t>
  </si>
  <si>
    <t>JASMINE BODY SCRUB-120 Min+ Aromatherapy-60 Min</t>
  </si>
  <si>
    <t>HONEY SANDALWOOD BODY SCRUB-60 Min+ Aromatherapy-60 Min</t>
  </si>
  <si>
    <t>HONEY SANDALWOOD BODY SCRUB-90 Min+ Aromatherapy-60 Min</t>
  </si>
  <si>
    <t>HONEY SANDALWOOD BODY SCRUB-120 Min+ Aromatherapy-60 Min</t>
  </si>
  <si>
    <t>BODY SCRUB-30 MIN</t>
  </si>
  <si>
    <t>BODY SCRUB-45 MIN</t>
  </si>
  <si>
    <t>BODY SCRUB-60 MIN</t>
  </si>
  <si>
    <t>Women-Hair Cut</t>
  </si>
  <si>
    <t>Women-Hair Trim</t>
  </si>
  <si>
    <t>Women-Front Cut</t>
  </si>
  <si>
    <t>Women-Hair Cut for Kids</t>
  </si>
  <si>
    <t>Women-Hair Cut with Hair Wash</t>
  </si>
  <si>
    <t>Women-Bob Cut</t>
  </si>
  <si>
    <t>Women-Shampoo + Conditioning</t>
  </si>
  <si>
    <t>Women-Shampoo + Conditioning + Blow Dry</t>
  </si>
  <si>
    <t>Women-Blow Dry Hair Set</t>
  </si>
  <si>
    <t>Women-Ironing</t>
  </si>
  <si>
    <t>Women-Ironing Curl</t>
  </si>
  <si>
    <t>Women-Tong Hair Set</t>
  </si>
  <si>
    <t>Women-Up Style</t>
  </si>
  <si>
    <t>COLOR TOUCH UP-Root Touchup</t>
  </si>
  <si>
    <t>COLOR TOUCH UP-Root Touchup (Ammonia Free)</t>
  </si>
  <si>
    <t>GLOBAL COLOR-Short Hair</t>
  </si>
  <si>
    <t>GLOBAL COLOR-Medium Hair</t>
  </si>
  <si>
    <t>GLOBAL COLOR-Long Hair</t>
  </si>
  <si>
    <t>GLOBAL COLOR-Add Hair Bond Treatment</t>
  </si>
  <si>
    <t>GLOBAL COLOR AMMONIA FREE-Short Hair</t>
  </si>
  <si>
    <t>GLOBAL COLOR AMMONIA FREE-Medium Hair</t>
  </si>
  <si>
    <t>GLOBAL COLOR AMMONIA FREE-Long Hair</t>
  </si>
  <si>
    <t>GLOBAL HIGHLIGHT-Short Hair</t>
  </si>
  <si>
    <t>GLOBAL HIGHLIGHT-Medium Hair</t>
  </si>
  <si>
    <t>GLOBAL HIGHLIGHT-Long Hair</t>
  </si>
  <si>
    <t>GLOBAL HIGHLIGHT-Hair Bond Treatment</t>
  </si>
  <si>
    <t>GLOBAL HIGHLIGHT-Highlight per Stand</t>
  </si>
  <si>
    <t>PRE - LIGHTING-Short Hair</t>
  </si>
  <si>
    <t>PRE - LIGHTING-Medium Hair</t>
  </si>
  <si>
    <t>PRE - LIGHTING-Long Hair</t>
  </si>
  <si>
    <t>NEW TECHNIQUE HAIR COLOR-Ombre</t>
  </si>
  <si>
    <t>NEW TECHNIQUE HAIR COLOR-Balayage</t>
  </si>
  <si>
    <t>HAIR TEXTURIZING-Short Hair</t>
  </si>
  <si>
    <t>HAIR TEXTURIZING-Medium Hair</t>
  </si>
  <si>
    <t>HAIR TEXTURIZING-Long Hair</t>
  </si>
  <si>
    <t>SHINE BOND-Short Hair</t>
  </si>
  <si>
    <t>SHINE BOND-Medium Hair</t>
  </si>
  <si>
    <t>SHINE BOND-Long Hair</t>
  </si>
  <si>
    <t>SHINE BOND-Primming</t>
  </si>
  <si>
    <t>KERATIN REPAIR TREATMENT-Short Hair</t>
  </si>
  <si>
    <t>KERATIN REPAIR TREATMENT-Medium Hair</t>
  </si>
  <si>
    <t>KERATIN REPAIR TREATMENT-Long Hair</t>
  </si>
  <si>
    <t>HAIR SPA TREATMENT-Short Hair</t>
  </si>
  <si>
    <t>HAIR SPA TREATMENT-Medium Hair</t>
  </si>
  <si>
    <t>HAIR SPA TREATMENT-Long Hair</t>
  </si>
  <si>
    <t>HAIR SPA TREATMENT-For Repair and Color Hair</t>
  </si>
  <si>
    <t>HAIR SPA TREATMENT-Hair For Control</t>
  </si>
  <si>
    <t>HAIR SPA TREATMENT-Anti-Dandruff</t>
  </si>
  <si>
    <t>HAIR BOND TREATMENT-Short Hair</t>
  </si>
  <si>
    <t>HAIR BOND TREATMENT-Medium Hair</t>
  </si>
  <si>
    <t>HAIR BOND TREATMENT-Long Hair</t>
  </si>
  <si>
    <t>Men-Hair Cut</t>
  </si>
  <si>
    <t>Men-Beard Trim</t>
  </si>
  <si>
    <t>Men-Beard Style</t>
  </si>
  <si>
    <t>Men-Hair Wash</t>
  </si>
  <si>
    <t>Men-Hair Wash Style</t>
  </si>
  <si>
    <t>Men Hair Color-Global Color</t>
  </si>
  <si>
    <t>Men Hair Color-Global Color (Amonia Free)</t>
  </si>
  <si>
    <t>Men Hair Color-Highlight per Strand</t>
  </si>
  <si>
    <t>Men-Beard Color</t>
  </si>
  <si>
    <t>Men Hair Color-Color Change</t>
  </si>
  <si>
    <t>Men Hair Color-Color Change (Amonia Free)</t>
  </si>
  <si>
    <t>Men HAIR SPA TREATMENT-Hair Spa</t>
  </si>
  <si>
    <t>Men HAIR SPA TREATMENT-Power Mix</t>
  </si>
  <si>
    <t>Men HAIR SPA TREATMENT-Hair Fall Control</t>
  </si>
  <si>
    <t>Men HAIR SPA TREATMENT-Anti-Dandruff</t>
  </si>
  <si>
    <t>Men HAIR SPA TREATMENT-Hair Bon Treatment</t>
  </si>
  <si>
    <t>STEAM-30 Min</t>
  </si>
  <si>
    <t>SAUNA-30 MIN</t>
  </si>
  <si>
    <t>JACCUZI-1 person / 30 min</t>
  </si>
  <si>
    <t>JACCUZI-2 person / 30 min</t>
  </si>
  <si>
    <t>HERBAL BALL COMPRESS-2 pc</t>
  </si>
  <si>
    <t>HERBAL BALM</t>
  </si>
  <si>
    <t>Annual Package-60 min</t>
  </si>
  <si>
    <t>Spa Package</t>
  </si>
  <si>
    <t>Annual Package-90 min</t>
  </si>
  <si>
    <t>Annual Package-120 min</t>
  </si>
  <si>
    <t>Premium Club Membership Package</t>
  </si>
  <si>
    <t>Membership Package</t>
  </si>
  <si>
    <t>Deluxe Club Membership Package</t>
  </si>
  <si>
    <t>Gift Vouchers-60 min</t>
  </si>
  <si>
    <t>Gift Vouchers-90 min</t>
  </si>
  <si>
    <t>Gift Vouchers-120 min</t>
  </si>
  <si>
    <t>Worth Voucher-1,000</t>
  </si>
  <si>
    <t>Worth Voucher</t>
  </si>
  <si>
    <t>Worth Voucher-2,000</t>
  </si>
  <si>
    <t>Worth Voucher-2,500</t>
  </si>
  <si>
    <t>Worth Voucher-5,000</t>
  </si>
  <si>
    <t>Worth Voucher-10,000</t>
  </si>
  <si>
    <t>Men's Hair Cut Package</t>
  </si>
  <si>
    <t>Salon Package</t>
  </si>
  <si>
    <t>HUA HIN-90 MIN</t>
  </si>
  <si>
    <t>HUA HIN-120 MIN</t>
  </si>
  <si>
    <t>Complete wellness gift - Single</t>
  </si>
  <si>
    <t>Current Package</t>
  </si>
  <si>
    <t>Complete wellness gift - Couple</t>
  </si>
  <si>
    <t>Couple Massage Wellness Date</t>
  </si>
  <si>
    <t>Products</t>
  </si>
  <si>
    <t>Standard Facial-Instafair-60min</t>
  </si>
  <si>
    <t>Valentine Gift Hamper</t>
  </si>
  <si>
    <t>Gift Hamper</t>
  </si>
  <si>
    <t>Valentine Gift Hamper package</t>
  </si>
  <si>
    <t>Gift Hamper Package</t>
  </si>
  <si>
    <t>Customized Package</t>
  </si>
  <si>
    <t>Gel Polish removal</t>
  </si>
  <si>
    <t>beauty Salon</t>
  </si>
  <si>
    <t>Mother's Day Package</t>
  </si>
  <si>
    <t>VIP Room Charge</t>
  </si>
  <si>
    <t>Others</t>
  </si>
  <si>
    <t>Premium- retinol facial</t>
  </si>
  <si>
    <t>Deep Tissue</t>
  </si>
  <si>
    <t>Teej Special Beauty Package</t>
  </si>
  <si>
    <t>Teej Special Spa Package</t>
  </si>
  <si>
    <t>Trekking/recovery package</t>
  </si>
  <si>
    <t>Thai De-Stress-60 Min</t>
  </si>
  <si>
    <t>Thai De-Stress-90 Min</t>
  </si>
  <si>
    <t>Thai De-Stress-120 Min</t>
  </si>
  <si>
    <t>Premium- Skin Sensation Treatment</t>
  </si>
  <si>
    <t>Premium- Mini Facial Cleansing</t>
  </si>
  <si>
    <t>Standard- Pro Glycolic Treatment</t>
  </si>
  <si>
    <t>Standard- Goldsheen</t>
  </si>
  <si>
    <t>Standard- Facial Dipigmentone</t>
  </si>
  <si>
    <t>Standard- Acnex</t>
  </si>
  <si>
    <t>Standard- Instafair</t>
  </si>
  <si>
    <t>Standard- Kiwi Fruit Marmalade Facial</t>
  </si>
  <si>
    <t>Standard- Hydra Facial</t>
  </si>
  <si>
    <t>Standard- Cleansing</t>
  </si>
  <si>
    <t>Standard- Deep Cleansing</t>
  </si>
  <si>
    <t>Standard- D Tan</t>
  </si>
  <si>
    <t>Nuad Thai Refreshing Package- 120 Min</t>
  </si>
  <si>
    <t>Nuad Thai Refreshing Package- 180 Min</t>
  </si>
  <si>
    <t>Premium-Grooming Pass</t>
  </si>
  <si>
    <t>Deluxe-Grooming Pass</t>
  </si>
  <si>
    <t>Nuad Thai Nepal</t>
  </si>
  <si>
    <t>Reception: …………………………</t>
  </si>
  <si>
    <t xml:space="preserve">TIME
</t>
  </si>
  <si>
    <t xml:space="preserve">ROOM 1
</t>
  </si>
  <si>
    <t xml:space="preserve">ROOM 2
</t>
  </si>
  <si>
    <t xml:space="preserve">ROOM 3
</t>
  </si>
  <si>
    <t xml:space="preserve">ROOM 4
</t>
  </si>
  <si>
    <t>ROOM 5</t>
  </si>
  <si>
    <t>ROOM 6</t>
  </si>
  <si>
    <t>ROOM 7</t>
  </si>
  <si>
    <t>ROOM 8</t>
  </si>
  <si>
    <t>ROOM 9</t>
  </si>
  <si>
    <t xml:space="preserve">SalonS
</t>
  </si>
  <si>
    <t xml:space="preserve">PMM/FACIAL
</t>
  </si>
  <si>
    <t xml:space="preserve">9:00 AM
</t>
  </si>
  <si>
    <t xml:space="preserve">10:00 AM
</t>
  </si>
  <si>
    <t xml:space="preserve">11:00 AM
</t>
  </si>
  <si>
    <t xml:space="preserve">12:00 PM
</t>
  </si>
  <si>
    <t xml:space="preserve">1:00 PM
</t>
  </si>
  <si>
    <t xml:space="preserve">2:00 PM
</t>
  </si>
  <si>
    <t xml:space="preserve">3:00PM
</t>
  </si>
  <si>
    <t xml:space="preserve">4:00PM
</t>
  </si>
  <si>
    <t xml:space="preserve">5:00PM
</t>
  </si>
  <si>
    <t xml:space="preserve">6:00PM
</t>
  </si>
  <si>
    <t xml:space="preserve">7:00PM
</t>
  </si>
  <si>
    <t xml:space="preserve">8:00PM
</t>
  </si>
  <si>
    <t>Summary Sales Report</t>
  </si>
  <si>
    <t>Mode of Payment</t>
  </si>
  <si>
    <t>Sales Amount</t>
  </si>
  <si>
    <t>Staff Name</t>
  </si>
  <si>
    <t>Working Hours(Min)</t>
  </si>
  <si>
    <t>Working Hours</t>
  </si>
  <si>
    <t>Remarks</t>
  </si>
  <si>
    <t>Card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</si>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</sst>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"/>
    <numFmt numFmtId="165" formatCode="dddd"/>
    <numFmt numFmtId="166" formatCode="h:mm am/pm"/>
    <numFmt numFmtId="167" formatCode="0.000"/>
    <numFmt numFmtId="168" formatCode="_(* #,##0_);_(* \(#,##0\);_(* &quot;-&quot;??_);_(@_)"/>
    <numFmt numFmtId="169" formatCode="_(* #,##0.00_);_(* \(#,##0.00\);_(* &quot;-&quot;??_);_(@_)"/>
    <numFmt numFmtId="170" formatCode="#,##0_);\-#,##0"/>
  </numFmts>
  <fonts count="19">
    <font>
      <sz val="11.0"/>
      <color theme="1"/>
      <name val="Calibri"/>
      <scheme val="minor"/>
    </font>
    <font>
      <b/>
      <sz val="15.0"/>
      <color theme="1"/>
      <name val="Times New Roman"/>
    </font>
    <font>
      <sz val="11.0"/>
      <color theme="1"/>
      <name val="Times New Roman"/>
    </font>
    <font/>
    <font>
      <b/>
      <sz val="12.0"/>
      <color theme="1"/>
      <name val="Times New Roman"/>
    </font>
    <font>
      <b/>
      <sz val="11.0"/>
      <color theme="1"/>
      <name val="Times New Roman"/>
    </font>
    <font>
      <b/>
      <sz val="11.0"/>
      <color rgb="FF00FF00"/>
      <name val="Times New Roman"/>
    </font>
    <font>
      <sz val="11.0"/>
      <color rgb="FF000000"/>
      <name val="Times New Roman"/>
    </font>
    <font>
      <color theme="1"/>
      <name val="Times New Roman"/>
    </font>
    <font>
      <color theme="1"/>
      <name val="Calibri"/>
      <scheme val="minor"/>
    </font>
    <font>
      <b/>
      <sz val="12.0"/>
      <color rgb="FF00FF00"/>
      <name val="Times New Roman"/>
    </font>
    <font>
      <sz val="11.0"/>
      <color theme="1"/>
      <name val="Calibri"/>
    </font>
    <font>
      <b/>
      <sz val="24.0"/>
      <color theme="1"/>
      <name val="Times New Roman"/>
    </font>
    <font>
      <b/>
      <color theme="1"/>
      <name val="Calibri"/>
      <scheme val="minor"/>
    </font>
    <font>
      <b/>
      <sz val="13.0"/>
      <color rgb="FF000000"/>
      <name val="Calibri"/>
    </font>
    <font>
      <b/>
      <sz val="12.0"/>
      <color rgb="FF000000"/>
      <name val="Calibri"/>
    </font>
    <font>
      <b/>
      <sz val="13.0"/>
      <color theme="1"/>
      <name val="Arial"/>
    </font>
    <font>
      <b/>
      <sz val="14.0"/>
      <color theme="1"/>
      <name val="Calibri"/>
      <scheme val="minor"/>
    </font>
    <font>
      <b/>
      <sz val="12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1" fillId="0" fontId="1" numFmtId="0" xfId="0" applyAlignment="1" applyBorder="1" applyFont="1">
      <alignment horizontal="center"/>
    </xf>
    <xf borderId="1" fillId="0" fontId="3" numFmtId="0" xfId="0" applyBorder="1" applyFont="1"/>
    <xf borderId="2" fillId="0" fontId="4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2" fillId="0" fontId="2" numFmtId="20" xfId="0" applyAlignment="1" applyBorder="1" applyFont="1" applyNumberFormat="1">
      <alignment readingOrder="0"/>
    </xf>
    <xf borderId="2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2" fillId="0" fontId="2" numFmtId="166" xfId="0" applyAlignment="1" applyBorder="1" applyFont="1" applyNumberFormat="1">
      <alignment readingOrder="0"/>
    </xf>
    <xf borderId="0" fillId="0" fontId="5" numFmtId="0" xfId="0" applyFont="1"/>
    <xf borderId="0" fillId="0" fontId="5" numFmtId="0" xfId="0" applyAlignment="1" applyFont="1">
      <alignment horizontal="center" shrinkToFit="0" wrapText="1"/>
    </xf>
    <xf borderId="0" fillId="0" fontId="5" numFmtId="0" xfId="0" applyAlignment="1" applyFont="1">
      <alignment horizontal="right"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left" readingOrder="0"/>
    </xf>
    <xf borderId="0" fillId="0" fontId="2" numFmtId="14" xfId="0" applyAlignment="1" applyFont="1" applyNumberFormat="1">
      <alignment horizontal="left" readingOrder="0"/>
    </xf>
    <xf borderId="0" fillId="0" fontId="2" numFmtId="167" xfId="0" applyFont="1" applyNumberFormat="1"/>
    <xf borderId="0" fillId="0" fontId="2" numFmtId="165" xfId="0" applyAlignment="1" applyFont="1" applyNumberFormat="1">
      <alignment horizontal="left"/>
    </xf>
    <xf borderId="2" fillId="0" fontId="4" numFmtId="0" xfId="0" applyAlignment="1" applyBorder="1" applyFont="1">
      <alignment horizontal="center" readingOrder="0"/>
    </xf>
    <xf borderId="2" fillId="0" fontId="5" numFmtId="0" xfId="0" applyAlignment="1" applyBorder="1" applyFont="1">
      <alignment readingOrder="0"/>
    </xf>
    <xf borderId="2" fillId="0" fontId="2" numFmtId="168" xfId="0" applyAlignment="1" applyBorder="1" applyFont="1" applyNumberFormat="1">
      <alignment horizontal="center"/>
    </xf>
    <xf borderId="2" fillId="0" fontId="2" numFmtId="169" xfId="0" applyBorder="1" applyFont="1" applyNumberFormat="1"/>
    <xf borderId="2" fillId="0" fontId="2" numFmtId="9" xfId="0" applyAlignment="1" applyBorder="1" applyFont="1" applyNumberFormat="1">
      <alignment horizontal="center" readingOrder="0"/>
    </xf>
    <xf borderId="2" fillId="0" fontId="6" numFmtId="169" xfId="0" applyBorder="1" applyFont="1" applyNumberFormat="1"/>
    <xf borderId="2" fillId="0" fontId="2" numFmtId="169" xfId="0" applyAlignment="1" applyBorder="1" applyFont="1" applyNumberFormat="1">
      <alignment readingOrder="0"/>
    </xf>
    <xf borderId="2" fillId="0" fontId="7" numFmtId="0" xfId="0" applyAlignment="1" applyBorder="1" applyFont="1">
      <alignment readingOrder="0" shrinkToFit="0" vertical="bottom" wrapText="0"/>
    </xf>
    <xf borderId="3" fillId="0" fontId="7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readingOrder="0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9" xfId="0" applyAlignment="1" applyBorder="1" applyFont="1" applyNumberFormat="1">
      <alignment horizontal="center"/>
    </xf>
    <xf borderId="2" fillId="0" fontId="2" numFmtId="20" xfId="0" applyBorder="1" applyFont="1" applyNumberFormat="1"/>
    <xf borderId="0" fillId="0" fontId="9" numFmtId="0" xfId="0" applyAlignment="1" applyFont="1">
      <alignment readingOrder="0"/>
    </xf>
    <xf borderId="2" fillId="0" fontId="4" numFmtId="0" xfId="0" applyBorder="1" applyFont="1"/>
    <xf borderId="2" fillId="0" fontId="4" numFmtId="169" xfId="0" applyBorder="1" applyFont="1" applyNumberFormat="1"/>
    <xf borderId="2" fillId="0" fontId="10" numFmtId="169" xfId="0" applyBorder="1" applyFont="1" applyNumberFormat="1"/>
    <xf borderId="0" fillId="0" fontId="5" numFmtId="0" xfId="0" applyAlignment="1" applyFont="1">
      <alignment horizontal="center"/>
    </xf>
    <xf borderId="0" fillId="0" fontId="8" numFmtId="0" xfId="0" applyFont="1"/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2" fillId="0" fontId="11" numFmtId="0" xfId="0" applyAlignment="1" applyBorder="1" applyFont="1">
      <alignment vertical="bottom"/>
    </xf>
    <xf borderId="2" fillId="0" fontId="8" numFmtId="0" xfId="0" applyAlignment="1" applyBorder="1" applyFont="1">
      <alignment readingOrder="0"/>
    </xf>
    <xf borderId="2" fillId="0" fontId="8" numFmtId="0" xfId="0" applyBorder="1" applyFont="1"/>
    <xf borderId="2" fillId="0" fontId="2" numFmtId="0" xfId="0" applyAlignment="1" applyBorder="1" applyFont="1">
      <alignment horizontal="right" vertical="bottom"/>
    </xf>
    <xf borderId="2" fillId="0" fontId="11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0" fontId="2" numFmtId="0" xfId="0" applyAlignment="1" applyBorder="1" applyFont="1">
      <alignment horizontal="right" vertical="bottom"/>
    </xf>
    <xf borderId="0" fillId="0" fontId="12" numFmtId="0" xfId="0" applyAlignment="1" applyFont="1">
      <alignment horizontal="center" shrinkToFit="0" vertical="top" wrapText="1"/>
    </xf>
    <xf borderId="0" fillId="0" fontId="4" numFmtId="0" xfId="0" applyAlignment="1" applyFont="1">
      <alignment shrinkToFit="0" vertical="top" wrapText="1"/>
    </xf>
    <xf borderId="0" fillId="0" fontId="13" numFmtId="164" xfId="0" applyAlignment="1" applyFont="1" applyNumberFormat="1">
      <alignment horizontal="center"/>
    </xf>
    <xf borderId="4" fillId="2" fontId="14" numFmtId="0" xfId="0" applyAlignment="1" applyBorder="1" applyFill="1" applyFont="1">
      <alignment horizontal="center" shrinkToFit="0" vertical="top" wrapText="1"/>
    </xf>
    <xf borderId="5" fillId="0" fontId="3" numFmtId="0" xfId="0" applyBorder="1" applyFont="1"/>
    <xf borderId="6" fillId="2" fontId="14" numFmtId="0" xfId="0" applyAlignment="1" applyBorder="1" applyFont="1">
      <alignment horizontal="center" shrinkToFit="0" vertical="top" wrapText="1"/>
    </xf>
    <xf borderId="7" fillId="2" fontId="14" numFmtId="0" xfId="0" applyAlignment="1" applyBorder="1" applyFont="1">
      <alignment horizontal="center" shrinkToFit="0" vertical="top" wrapText="1"/>
    </xf>
    <xf borderId="8" fillId="2" fontId="14" numFmtId="0" xfId="0" applyAlignment="1" applyBorder="1" applyFont="1">
      <alignment horizontal="center" shrinkToFit="0" vertical="top" wrapText="1"/>
    </xf>
    <xf borderId="7" fillId="2" fontId="14" numFmtId="0" xfId="0" applyAlignment="1" applyBorder="1" applyFont="1">
      <alignment horizontal="center" readingOrder="0" shrinkToFit="0" vertical="top" wrapText="1"/>
    </xf>
    <xf borderId="9" fillId="2" fontId="15" numFmtId="0" xfId="0" applyAlignment="1" applyBorder="1" applyFont="1">
      <alignment horizontal="left" shrinkToFit="0" vertical="center" wrapText="1"/>
    </xf>
    <xf borderId="10" fillId="2" fontId="16" numFmtId="170" xfId="0" applyAlignment="1" applyBorder="1" applyFont="1" applyNumberFormat="1">
      <alignment horizontal="left" shrinkToFit="0" vertical="top" wrapText="1"/>
    </xf>
    <xf borderId="10" fillId="0" fontId="16" numFmtId="170" xfId="0" applyAlignment="1" applyBorder="1" applyFont="1" applyNumberFormat="1">
      <alignment horizontal="left" readingOrder="0" shrinkToFit="0" vertical="top" wrapText="1"/>
    </xf>
    <xf borderId="11" fillId="0" fontId="3" numFmtId="0" xfId="0" applyBorder="1" applyFont="1"/>
    <xf borderId="12" fillId="2" fontId="16" numFmtId="170" xfId="0" applyAlignment="1" applyBorder="1" applyFont="1" applyNumberFormat="1">
      <alignment horizontal="left" shrinkToFit="0" vertical="top" wrapText="1"/>
    </xf>
    <xf borderId="13" fillId="2" fontId="16" numFmtId="170" xfId="0" applyAlignment="1" applyBorder="1" applyFont="1" applyNumberFormat="1">
      <alignment horizontal="left" readingOrder="0" shrinkToFit="0" vertical="top" wrapText="1"/>
    </xf>
    <xf borderId="12" fillId="0" fontId="16" numFmtId="170" xfId="0" applyAlignment="1" applyBorder="1" applyFont="1" applyNumberFormat="1">
      <alignment horizontal="left" readingOrder="0" shrinkToFit="0" vertical="top" wrapText="1"/>
    </xf>
    <xf borderId="13" fillId="2" fontId="16" numFmtId="170" xfId="0" applyAlignment="1" applyBorder="1" applyFont="1" applyNumberFormat="1">
      <alignment horizontal="left" shrinkToFit="0" vertical="top" wrapText="1"/>
    </xf>
    <xf borderId="13" fillId="2" fontId="16" numFmtId="0" xfId="0" applyAlignment="1" applyBorder="1" applyFont="1">
      <alignment horizontal="left" readingOrder="0" shrinkToFit="0" vertical="top" wrapText="1"/>
    </xf>
    <xf borderId="12" fillId="0" fontId="16" numFmtId="170" xfId="0" applyAlignment="1" applyBorder="1" applyFont="1" applyNumberFormat="1">
      <alignment horizontal="left" shrinkToFit="0" vertical="top" wrapText="1"/>
    </xf>
    <xf borderId="14" fillId="0" fontId="3" numFmtId="0" xfId="0" applyBorder="1" applyFont="1"/>
    <xf borderId="15" fillId="2" fontId="16" numFmtId="170" xfId="0" applyAlignment="1" applyBorder="1" applyFont="1" applyNumberFormat="1">
      <alignment horizontal="left" shrinkToFit="0" vertical="top" wrapText="1"/>
    </xf>
    <xf borderId="16" fillId="2" fontId="16" numFmtId="170" xfId="0" applyAlignment="1" applyBorder="1" applyFont="1" applyNumberFormat="1">
      <alignment horizontal="left" shrinkToFit="0" vertical="top" wrapText="1"/>
    </xf>
    <xf borderId="15" fillId="0" fontId="16" numFmtId="170" xfId="0" applyAlignment="1" applyBorder="1" applyFont="1" applyNumberFormat="1">
      <alignment horizontal="left" shrinkToFit="0" vertical="top" wrapText="1"/>
    </xf>
    <xf borderId="17" fillId="2" fontId="16" numFmtId="170" xfId="0" applyAlignment="1" applyBorder="1" applyFont="1" applyNumberFormat="1">
      <alignment horizontal="left" shrinkToFit="0" vertical="top" wrapText="1"/>
    </xf>
    <xf borderId="10" fillId="0" fontId="16" numFmtId="170" xfId="0" applyAlignment="1" applyBorder="1" applyFont="1" applyNumberFormat="1">
      <alignment horizontal="left" shrinkToFit="0" vertical="top" wrapText="1"/>
    </xf>
    <xf borderId="10" fillId="2" fontId="16" numFmtId="20" xfId="0" applyAlignment="1" applyBorder="1" applyFont="1" applyNumberFormat="1">
      <alignment horizontal="left" readingOrder="0" shrinkToFit="0" vertical="top" wrapText="1"/>
    </xf>
    <xf borderId="12" fillId="2" fontId="16" numFmtId="170" xfId="0" applyAlignment="1" applyBorder="1" applyFont="1" applyNumberFormat="1">
      <alignment horizontal="left" readingOrder="0" shrinkToFit="0" vertical="top" wrapText="1"/>
    </xf>
    <xf borderId="12" fillId="2" fontId="16" numFmtId="20" xfId="0" applyAlignment="1" applyBorder="1" applyFont="1" applyNumberFormat="1">
      <alignment horizontal="left" readingOrder="0" shrinkToFit="0" vertical="top" wrapText="1"/>
    </xf>
    <xf borderId="16" fillId="2" fontId="16" numFmtId="170" xfId="0" applyAlignment="1" applyBorder="1" applyFont="1" applyNumberFormat="1">
      <alignment horizontal="left" readingOrder="0" shrinkToFit="0" vertical="top" wrapText="1"/>
    </xf>
    <xf borderId="15" fillId="2" fontId="16" numFmtId="170" xfId="0" applyAlignment="1" applyBorder="1" applyFont="1" applyNumberFormat="1">
      <alignment horizontal="left" readingOrder="0" shrinkToFit="0" vertical="top" wrapText="1"/>
    </xf>
    <xf borderId="17" fillId="2" fontId="16" numFmtId="170" xfId="0" applyAlignment="1" applyBorder="1" applyFont="1" applyNumberFormat="1">
      <alignment horizontal="left" readingOrder="0" shrinkToFit="0" vertical="top" wrapText="1"/>
    </xf>
    <xf borderId="10" fillId="2" fontId="16" numFmtId="170" xfId="0" applyAlignment="1" applyBorder="1" applyFont="1" applyNumberFormat="1">
      <alignment horizontal="left" readingOrder="0" shrinkToFit="0" vertical="top" wrapText="1"/>
    </xf>
    <xf borderId="13" fillId="0" fontId="16" numFmtId="170" xfId="0" applyAlignment="1" applyBorder="1" applyFont="1" applyNumberFormat="1">
      <alignment horizontal="left" readingOrder="0" shrinkToFit="0" vertical="top" wrapText="1"/>
    </xf>
    <xf borderId="16" fillId="0" fontId="16" numFmtId="170" xfId="0" applyAlignment="1" applyBorder="1" applyFont="1" applyNumberFormat="1">
      <alignment horizontal="left" readingOrder="0" shrinkToFit="0" vertical="top" wrapText="1"/>
    </xf>
    <xf borderId="17" fillId="0" fontId="16" numFmtId="170" xfId="0" applyAlignment="1" applyBorder="1" applyFont="1" applyNumberFormat="1">
      <alignment horizontal="left" readingOrder="0" shrinkToFit="0" vertical="top" wrapText="1"/>
    </xf>
    <xf borderId="13" fillId="2" fontId="16" numFmtId="20" xfId="0" applyAlignment="1" applyBorder="1" applyFont="1" applyNumberFormat="1">
      <alignment horizontal="left" readingOrder="0" shrinkToFit="0" vertical="top" wrapText="1"/>
    </xf>
    <xf borderId="9" fillId="2" fontId="15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/>
    </xf>
    <xf borderId="0" fillId="0" fontId="18" numFmtId="0" xfId="0" applyAlignment="1" applyFont="1">
      <alignment horizontal="center" readingOrder="0"/>
    </xf>
    <xf borderId="0" fillId="0" fontId="9" numFmtId="164" xfId="0" applyAlignment="1" applyFont="1" applyNumberFormat="1">
      <alignment horizontal="center"/>
    </xf>
    <xf borderId="2" fillId="0" fontId="13" numFmtId="0" xfId="0" applyAlignment="1" applyBorder="1" applyFont="1">
      <alignment readingOrder="0"/>
    </xf>
    <xf borderId="18" fillId="0" fontId="9" numFmtId="0" xfId="0" applyBorder="1" applyFont="1"/>
    <xf borderId="2" fillId="0" fontId="13" numFmtId="4" xfId="0" applyBorder="1" applyFont="1" applyNumberFormat="1"/>
    <xf borderId="2" fillId="0" fontId="9" numFmtId="0" xfId="0" applyBorder="1" applyFont="1"/>
    <xf borderId="2" fillId="0" fontId="9" numFmtId="4" xfId="0" applyBorder="1" applyFont="1" applyNumberFormat="1"/>
    <xf borderId="0" fillId="0" fontId="17" numFmtId="0" xfId="0" applyAlignment="1" applyFont="1">
      <alignment readingOrder="0"/>
    </xf>
    <xf borderId="0" fillId="0" fontId="13" numFmtId="0" xfId="0" applyAlignment="1" applyFont="1">
      <alignment readingOrder="0"/>
    </xf>
    <xf borderId="2" fillId="0" fontId="9" numFmtId="0" xfId="0" applyAlignment="1" applyBorder="1" applyFont="1">
      <alignment readingOrder="0"/>
    </xf>
    <xf borderId="19" fillId="0" fontId="9" numFmtId="0" xfId="0" applyBorder="1" applyFont="1"/>
    <xf borderId="2" fillId="0" fontId="13" numFmtId="0" xfId="0" applyBorder="1" applyFont="1"/>
    <xf borderId="20" fillId="0" fontId="9" numFmtId="0" xfId="0" applyBorder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7.43"/>
  </cols>
  <sheetData>
    <row r="1">
      <c r="A1" s="1" t="str">
        <f>'Sales Report'!A1</f>
        <v>NUAD THAI NEPAL
Lazimpat</v>
      </c>
      <c r="F1" s="2"/>
      <c r="G1" s="2"/>
      <c r="H1" s="2"/>
      <c r="I1" s="2"/>
      <c r="J1" s="2"/>
      <c r="K1" s="2"/>
      <c r="L1" s="2"/>
    </row>
    <row r="2">
      <c r="A2" s="1"/>
      <c r="B2" s="1"/>
      <c r="C2" s="1"/>
      <c r="D2" s="1"/>
      <c r="E2" s="1"/>
      <c r="F2" s="2"/>
      <c r="G2" s="2"/>
      <c r="H2" s="2"/>
      <c r="I2" s="2"/>
      <c r="J2" s="2"/>
      <c r="K2" s="2"/>
      <c r="L2" s="2"/>
    </row>
    <row r="3">
      <c r="A3" s="1" t="str">
        <f>'Sales Report'!A4</f>
        <v>Date :</v>
      </c>
      <c r="B3" s="3">
        <f>'Sales Report'!B4</f>
        <v>46012</v>
      </c>
      <c r="C3" s="1"/>
      <c r="D3" s="1"/>
      <c r="E3" s="1"/>
      <c r="F3" s="2"/>
      <c r="G3" s="2"/>
      <c r="H3" s="2"/>
      <c r="I3" s="2"/>
      <c r="J3" s="2"/>
      <c r="K3" s="2"/>
      <c r="L3" s="2"/>
    </row>
    <row r="4">
      <c r="A4" s="1" t="str">
        <f>'Sales Report'!A5</f>
        <v>Day:</v>
      </c>
      <c r="B4" s="4">
        <f>'Sales Report'!B5</f>
        <v>46012</v>
      </c>
      <c r="C4" s="1"/>
      <c r="D4" s="1"/>
      <c r="E4" s="1"/>
      <c r="F4" s="2"/>
      <c r="G4" s="2"/>
      <c r="H4" s="2"/>
      <c r="I4" s="2"/>
      <c r="J4" s="2"/>
      <c r="K4" s="2"/>
      <c r="L4" s="2"/>
    </row>
    <row r="5">
      <c r="A5" s="1"/>
      <c r="B5" s="1"/>
      <c r="C5" s="1"/>
      <c r="D5" s="1"/>
      <c r="E5" s="1"/>
      <c r="F5" s="2"/>
      <c r="G5" s="2"/>
      <c r="H5" s="2"/>
      <c r="I5" s="2"/>
      <c r="J5" s="2"/>
      <c r="K5" s="2"/>
      <c r="L5" s="2"/>
    </row>
    <row r="6">
      <c r="A6" s="5" t="s">
        <v>0</v>
      </c>
      <c r="B6" s="6"/>
      <c r="C6" s="6"/>
      <c r="D6" s="6"/>
      <c r="E6" s="6"/>
      <c r="F6" s="2"/>
      <c r="G6" s="2"/>
      <c r="H6" s="2"/>
      <c r="I6" s="2"/>
      <c r="J6" s="2"/>
      <c r="K6" s="2"/>
      <c r="L6" s="2"/>
    </row>
    <row r="7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  <c r="F7" s="2"/>
      <c r="G7" s="2"/>
      <c r="H7" s="2"/>
      <c r="I7" s="2"/>
      <c r="J7" s="2"/>
      <c r="K7" s="2"/>
      <c r="L7" s="2"/>
    </row>
    <row r="8">
      <c r="A8" s="8" t="str">
        <f t="shared" ref="A8:A28" si="1">IF(B8&lt;&gt;"", MAX(A$7:A7)+1, "")</f>
        <v/>
      </c>
      <c r="B8" s="9"/>
      <c r="C8" s="10"/>
      <c r="D8" s="11"/>
      <c r="E8" s="12"/>
      <c r="F8" s="2"/>
      <c r="G8" s="2"/>
      <c r="H8" s="2"/>
      <c r="I8" s="2"/>
      <c r="J8" s="2"/>
      <c r="K8" s="2"/>
      <c r="L8" s="2"/>
    </row>
    <row r="9">
      <c r="A9" s="8" t="str">
        <f t="shared" si="1"/>
        <v/>
      </c>
      <c r="B9" s="9"/>
      <c r="C9" s="10"/>
      <c r="D9" s="11"/>
      <c r="E9" s="11"/>
      <c r="F9" s="2"/>
      <c r="G9" s="2"/>
      <c r="H9" s="2"/>
      <c r="I9" s="2"/>
      <c r="J9" s="2"/>
      <c r="K9" s="2"/>
      <c r="L9" s="2"/>
    </row>
    <row r="10">
      <c r="A10" s="8" t="str">
        <f t="shared" si="1"/>
        <v/>
      </c>
      <c r="B10" s="9"/>
      <c r="C10" s="9"/>
      <c r="D10" s="11"/>
      <c r="E10" s="11"/>
      <c r="F10" s="13"/>
      <c r="G10" s="2"/>
      <c r="H10" s="2"/>
      <c r="I10" s="2"/>
      <c r="J10" s="2"/>
      <c r="K10" s="2"/>
      <c r="L10" s="2"/>
    </row>
    <row r="11">
      <c r="A11" s="8" t="str">
        <f t="shared" si="1"/>
        <v/>
      </c>
      <c r="B11" s="9"/>
      <c r="C11" s="10"/>
      <c r="D11" s="11"/>
      <c r="E11" s="11"/>
      <c r="F11" s="2"/>
      <c r="G11" s="2"/>
      <c r="H11" s="2"/>
      <c r="I11" s="2"/>
      <c r="J11" s="2"/>
      <c r="K11" s="2"/>
      <c r="L11" s="2"/>
    </row>
    <row r="12">
      <c r="A12" s="8" t="str">
        <f t="shared" si="1"/>
        <v/>
      </c>
      <c r="B12" s="9"/>
      <c r="C12" s="10"/>
      <c r="D12" s="11"/>
      <c r="E12" s="11"/>
      <c r="F12" s="2"/>
      <c r="G12" s="2"/>
      <c r="H12" s="2"/>
      <c r="I12" s="2"/>
      <c r="J12" s="2"/>
      <c r="K12" s="2"/>
      <c r="L12" s="2"/>
    </row>
    <row r="13">
      <c r="A13" s="8" t="str">
        <f t="shared" si="1"/>
        <v/>
      </c>
      <c r="B13" s="9"/>
      <c r="C13" s="10"/>
      <c r="D13" s="11"/>
      <c r="E13" s="11"/>
      <c r="F13" s="2"/>
      <c r="G13" s="2"/>
      <c r="H13" s="2"/>
      <c r="I13" s="2"/>
      <c r="J13" s="2"/>
      <c r="K13" s="2"/>
      <c r="L13" s="2"/>
    </row>
    <row r="14">
      <c r="A14" s="8" t="str">
        <f t="shared" si="1"/>
        <v/>
      </c>
      <c r="B14" s="9"/>
      <c r="C14" s="10"/>
      <c r="D14" s="11"/>
      <c r="E14" s="14"/>
      <c r="F14" s="2"/>
      <c r="G14" s="2"/>
      <c r="H14" s="2"/>
      <c r="I14" s="2"/>
      <c r="J14" s="2"/>
      <c r="K14" s="2"/>
      <c r="L14" s="2"/>
    </row>
    <row r="15">
      <c r="A15" s="8" t="str">
        <f t="shared" si="1"/>
        <v/>
      </c>
      <c r="B15" s="9"/>
      <c r="C15" s="10"/>
      <c r="D15" s="11"/>
      <c r="E15" s="11"/>
      <c r="F15" s="13"/>
      <c r="G15" s="2"/>
      <c r="H15" s="2"/>
      <c r="I15" s="2"/>
      <c r="J15" s="2"/>
      <c r="K15" s="2"/>
      <c r="L15" s="2"/>
    </row>
    <row r="16">
      <c r="A16" s="8" t="str">
        <f t="shared" si="1"/>
        <v/>
      </c>
      <c r="B16" s="9"/>
      <c r="C16" s="10"/>
      <c r="D16" s="11"/>
      <c r="E16" s="11"/>
      <c r="F16" s="2"/>
      <c r="G16" s="2"/>
      <c r="H16" s="2"/>
      <c r="I16" s="2"/>
      <c r="J16" s="2"/>
      <c r="K16" s="2"/>
      <c r="L16" s="2"/>
    </row>
    <row r="17">
      <c r="A17" s="8" t="str">
        <f t="shared" si="1"/>
        <v/>
      </c>
      <c r="B17" s="9"/>
      <c r="C17" s="10"/>
      <c r="D17" s="11"/>
      <c r="E17" s="11"/>
      <c r="F17" s="2"/>
      <c r="G17" s="2"/>
      <c r="H17" s="2"/>
      <c r="I17" s="2"/>
      <c r="J17" s="2"/>
      <c r="K17" s="2"/>
      <c r="L17" s="2"/>
    </row>
    <row r="18">
      <c r="A18" s="8" t="str">
        <f t="shared" si="1"/>
        <v/>
      </c>
      <c r="B18" s="9"/>
      <c r="C18" s="10"/>
      <c r="D18" s="11"/>
      <c r="E18" s="11"/>
      <c r="F18" s="2"/>
      <c r="G18" s="2"/>
      <c r="H18" s="2"/>
      <c r="I18" s="2"/>
      <c r="J18" s="2"/>
      <c r="K18" s="2"/>
      <c r="L18" s="2"/>
    </row>
    <row r="19">
      <c r="A19" s="8" t="str">
        <f t="shared" si="1"/>
        <v/>
      </c>
      <c r="B19" s="9"/>
      <c r="C19" s="10"/>
      <c r="D19" s="11"/>
      <c r="E19" s="11"/>
      <c r="F19" s="13"/>
      <c r="G19" s="2"/>
      <c r="H19" s="13"/>
      <c r="I19" s="2"/>
      <c r="J19" s="2"/>
      <c r="K19" s="2"/>
      <c r="L19" s="2"/>
    </row>
    <row r="20">
      <c r="A20" s="8" t="str">
        <f t="shared" si="1"/>
        <v/>
      </c>
      <c r="B20" s="9"/>
      <c r="C20" s="10"/>
      <c r="D20" s="11"/>
      <c r="E20" s="11"/>
      <c r="F20" s="13"/>
      <c r="G20" s="2"/>
      <c r="H20" s="2"/>
      <c r="I20" s="2"/>
      <c r="J20" s="2"/>
      <c r="K20" s="2"/>
      <c r="L20" s="2"/>
    </row>
    <row r="21">
      <c r="A21" s="8" t="str">
        <f t="shared" si="1"/>
        <v/>
      </c>
      <c r="B21" s="9"/>
      <c r="C21" s="10"/>
      <c r="D21" s="11"/>
      <c r="E21" s="11"/>
      <c r="F21" s="13"/>
      <c r="G21" s="2"/>
      <c r="H21" s="2"/>
      <c r="I21" s="2"/>
      <c r="J21" s="2"/>
      <c r="K21" s="2"/>
      <c r="L21" s="2"/>
    </row>
    <row r="22">
      <c r="A22" s="8" t="str">
        <f t="shared" si="1"/>
        <v/>
      </c>
      <c r="B22" s="9"/>
      <c r="C22" s="10"/>
      <c r="D22" s="11"/>
      <c r="E22" s="11"/>
      <c r="F22" s="2"/>
      <c r="G22" s="2"/>
      <c r="H22" s="2"/>
      <c r="I22" s="2"/>
      <c r="J22" s="2"/>
      <c r="K22" s="2"/>
      <c r="L22" s="2"/>
    </row>
    <row r="23">
      <c r="A23" s="8" t="str">
        <f t="shared" si="1"/>
        <v/>
      </c>
      <c r="B23" s="9"/>
      <c r="C23" s="10"/>
      <c r="D23" s="11"/>
      <c r="E23" s="11"/>
      <c r="F23" s="2"/>
      <c r="G23" s="2"/>
      <c r="H23" s="2"/>
      <c r="I23" s="2"/>
      <c r="J23" s="2"/>
      <c r="K23" s="2"/>
      <c r="L23" s="2"/>
    </row>
    <row r="24">
      <c r="A24" s="8" t="str">
        <f t="shared" si="1"/>
        <v/>
      </c>
      <c r="B24" s="9"/>
      <c r="C24" s="10"/>
      <c r="D24" s="11"/>
      <c r="E24" s="11"/>
      <c r="F24" s="2"/>
      <c r="G24" s="2"/>
      <c r="H24" s="2"/>
      <c r="I24" s="2"/>
      <c r="J24" s="2"/>
      <c r="K24" s="2"/>
      <c r="L24" s="2"/>
    </row>
    <row r="25">
      <c r="A25" s="8" t="str">
        <f t="shared" si="1"/>
        <v/>
      </c>
      <c r="B25" s="9"/>
      <c r="C25" s="10"/>
      <c r="D25" s="11"/>
      <c r="E25" s="11"/>
      <c r="F25" s="2"/>
      <c r="G25" s="2"/>
      <c r="H25" s="2"/>
      <c r="I25" s="2"/>
      <c r="J25" s="2"/>
      <c r="K25" s="2"/>
      <c r="L25" s="2"/>
    </row>
    <row r="26">
      <c r="A26" s="8" t="str">
        <f t="shared" si="1"/>
        <v/>
      </c>
      <c r="B26" s="9"/>
      <c r="C26" s="10"/>
      <c r="D26" s="11"/>
      <c r="E26" s="11"/>
      <c r="F26" s="2"/>
      <c r="G26" s="2"/>
      <c r="H26" s="2"/>
      <c r="I26" s="2"/>
      <c r="J26" s="2"/>
      <c r="K26" s="2"/>
      <c r="L26" s="2"/>
    </row>
    <row r="27">
      <c r="A27" s="8" t="str">
        <f t="shared" si="1"/>
        <v/>
      </c>
      <c r="B27" s="9"/>
      <c r="C27" s="10"/>
      <c r="D27" s="11"/>
      <c r="E27" s="11"/>
      <c r="F27" s="2"/>
      <c r="G27" s="2"/>
      <c r="H27" s="2"/>
      <c r="I27" s="2"/>
      <c r="J27" s="2"/>
      <c r="K27" s="2"/>
      <c r="L27" s="2"/>
    </row>
    <row r="28">
      <c r="A28" s="8" t="str">
        <f t="shared" si="1"/>
        <v/>
      </c>
      <c r="B28" s="9"/>
      <c r="C28" s="10"/>
      <c r="D28" s="11"/>
      <c r="E28" s="11"/>
      <c r="F28" s="2"/>
      <c r="G28" s="2"/>
      <c r="H28" s="2"/>
      <c r="I28" s="2"/>
      <c r="J28" s="2"/>
      <c r="K28" s="2"/>
      <c r="L28" s="2"/>
    </row>
    <row r="29">
      <c r="A29" s="8"/>
      <c r="B29" s="10"/>
      <c r="C29" s="10"/>
      <c r="D29" s="10"/>
      <c r="E29" s="10"/>
      <c r="F29" s="2"/>
      <c r="G29" s="2"/>
      <c r="H29" s="2"/>
      <c r="I29" s="2"/>
      <c r="J29" s="2"/>
      <c r="K29" s="2"/>
      <c r="L29" s="2"/>
    </row>
    <row r="30">
      <c r="A30" s="8"/>
      <c r="B30" s="10"/>
      <c r="C30" s="10"/>
      <c r="D30" s="10"/>
      <c r="E30" s="10"/>
      <c r="F30" s="2"/>
      <c r="G30" s="2"/>
      <c r="H30" s="2"/>
      <c r="I30" s="2"/>
      <c r="J30" s="2"/>
      <c r="K30" s="2"/>
      <c r="L30" s="2"/>
    </row>
    <row r="31">
      <c r="A31" s="8"/>
      <c r="B31" s="10"/>
      <c r="C31" s="10"/>
      <c r="D31" s="10"/>
      <c r="E31" s="10"/>
      <c r="F31" s="2"/>
      <c r="G31" s="2"/>
      <c r="H31" s="2"/>
      <c r="I31" s="2"/>
      <c r="J31" s="2"/>
      <c r="K31" s="2"/>
      <c r="L31" s="2"/>
    </row>
    <row r="32">
      <c r="A32" s="8"/>
      <c r="B32" s="10"/>
      <c r="C32" s="10"/>
      <c r="D32" s="10"/>
      <c r="E32" s="10"/>
      <c r="F32" s="2"/>
      <c r="G32" s="2"/>
      <c r="H32" s="2"/>
      <c r="I32" s="2"/>
      <c r="J32" s="2"/>
      <c r="K32" s="2"/>
      <c r="L32" s="2"/>
    </row>
    <row r="33">
      <c r="A33" s="8"/>
      <c r="B33" s="10"/>
      <c r="C33" s="10"/>
      <c r="D33" s="10"/>
      <c r="E33" s="10"/>
      <c r="F33" s="2"/>
      <c r="G33" s="2"/>
      <c r="H33" s="2"/>
      <c r="I33" s="2"/>
      <c r="J33" s="2"/>
      <c r="K33" s="2"/>
      <c r="L33" s="2"/>
    </row>
    <row r="34">
      <c r="A34" s="8"/>
      <c r="B34" s="10"/>
      <c r="C34" s="10"/>
      <c r="D34" s="10"/>
      <c r="E34" s="10"/>
      <c r="F34" s="2"/>
      <c r="G34" s="2"/>
      <c r="H34" s="2"/>
      <c r="I34" s="2"/>
      <c r="J34" s="2"/>
      <c r="K34" s="2"/>
      <c r="L34" s="2"/>
    </row>
    <row r="35">
      <c r="A35" s="8"/>
      <c r="B35" s="10"/>
      <c r="C35" s="10"/>
      <c r="D35" s="10"/>
      <c r="E35" s="10"/>
      <c r="F35" s="2"/>
      <c r="G35" s="2"/>
      <c r="H35" s="2"/>
      <c r="I35" s="2"/>
      <c r="J35" s="2"/>
      <c r="K35" s="2"/>
      <c r="L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>
      <c r="A38" s="15" t="s">
        <v>6</v>
      </c>
      <c r="B38" s="2"/>
      <c r="C38" s="2"/>
      <c r="D38" s="2"/>
      <c r="E38" s="2"/>
      <c r="F38" s="15" t="s">
        <v>7</v>
      </c>
      <c r="G38" s="2"/>
      <c r="H38" s="2"/>
      <c r="I38" s="2"/>
      <c r="J38" s="2"/>
      <c r="K38" s="2"/>
      <c r="L38" s="15" t="s">
        <v>8</v>
      </c>
    </row>
    <row r="39">
      <c r="A39" s="15" t="s">
        <v>9</v>
      </c>
      <c r="B39" s="2"/>
      <c r="C39" s="2"/>
      <c r="D39" s="2"/>
      <c r="E39" s="15"/>
      <c r="F39" s="15" t="s">
        <v>9</v>
      </c>
      <c r="G39" s="2"/>
      <c r="H39" s="2"/>
      <c r="I39" s="2"/>
      <c r="J39" s="2"/>
      <c r="K39" s="2"/>
      <c r="L39" s="15" t="s">
        <v>9</v>
      </c>
    </row>
  </sheetData>
  <mergeCells count="2">
    <mergeCell ref="A1:E1"/>
    <mergeCell ref="A6:E6"/>
  </mergeCells>
  <dataValidations>
    <dataValidation type="list" allowBlank="1" showErrorMessage="1" sqref="B8:B35">
      <formula1>'Sales Report'!$AG$7:$AG$40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1.86"/>
    <col customWidth="1" min="3" max="3" width="18.71"/>
    <col customWidth="1" min="4" max="4" width="20.0"/>
    <col customWidth="1" min="5" max="5" width="12.14"/>
    <col customWidth="1" min="6" max="6" width="13.0"/>
    <col customWidth="1" min="7" max="7" width="59.57"/>
    <col customWidth="1" min="8" max="8" width="8.29"/>
    <col customWidth="1" min="9" max="9" width="10.43"/>
    <col customWidth="1" min="10" max="10" width="14.14"/>
    <col customWidth="1" min="11" max="11" width="9.71"/>
    <col customWidth="1" min="12" max="12" width="14.14"/>
    <col customWidth="1" min="13" max="13" width="15.86"/>
    <col customWidth="1" min="14" max="14" width="16.71"/>
    <col customWidth="1" min="15" max="15" width="21.57"/>
    <col customWidth="1" min="16" max="16" width="25.29"/>
    <col customWidth="1" min="17" max="17" width="28.0"/>
    <col customWidth="1" min="18" max="19" width="16.86"/>
    <col customWidth="1" min="20" max="20" width="19.0"/>
    <col customWidth="1" min="21" max="22" width="8.71"/>
    <col customWidth="1" hidden="1" min="23" max="23" width="11.71"/>
    <col customWidth="1" hidden="1" min="24" max="24" width="8.71"/>
    <col customWidth="1" hidden="1" min="25" max="25" width="4.0"/>
    <col customWidth="1" hidden="1" min="26" max="26" width="65.86"/>
    <col customWidth="1" hidden="1" min="27" max="27" width="12.43"/>
    <col customWidth="1" hidden="1" min="28" max="28" width="24.86"/>
    <col customWidth="1" hidden="1" min="29" max="29" width="12.71"/>
    <col customWidth="1" hidden="1" min="30" max="30" width="10.0"/>
    <col customWidth="1" hidden="1" min="31" max="31" width="16.86"/>
    <col customWidth="1" hidden="1" min="32" max="32" width="14.43"/>
    <col customWidth="1" hidden="1" min="33" max="33" width="25.86"/>
    <col customWidth="1" hidden="1" min="34" max="34" width="13.43"/>
    <col customWidth="1" hidden="1" min="35" max="35" width="20.14"/>
  </cols>
  <sheetData>
    <row r="1" ht="30.0" customHeight="1">
      <c r="A1" s="16" t="s">
        <v>10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ht="14.25" customHeight="1">
      <c r="D2" s="2"/>
      <c r="E2" s="2"/>
      <c r="F2" s="2"/>
      <c r="G2" s="2"/>
      <c r="H2" s="2"/>
      <c r="I2" s="2"/>
      <c r="J2" s="17" t="s">
        <v>11</v>
      </c>
      <c r="L2" s="13">
        <v>5800.0</v>
      </c>
      <c r="M2" s="2"/>
      <c r="N2" s="18" t="s">
        <v>12</v>
      </c>
      <c r="O2" s="13">
        <v>1.0</v>
      </c>
      <c r="P2" s="2"/>
      <c r="Q2" s="13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ht="14.25" customHeight="1">
      <c r="A3" s="15" t="s">
        <v>13</v>
      </c>
      <c r="B3" s="19">
        <v>21.0</v>
      </c>
      <c r="C3" s="19"/>
      <c r="D3" s="2"/>
      <c r="E3" s="2"/>
      <c r="F3" s="2"/>
      <c r="G3" s="2"/>
      <c r="H3" s="2"/>
      <c r="I3" s="2"/>
      <c r="J3" s="17" t="s">
        <v>14</v>
      </c>
      <c r="L3" s="13">
        <v>5440.0</v>
      </c>
      <c r="M3" s="2"/>
      <c r="N3" s="18" t="s">
        <v>15</v>
      </c>
      <c r="O3" s="13">
        <v>1.0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ht="14.25" customHeight="1">
      <c r="A4" s="15" t="s">
        <v>16</v>
      </c>
      <c r="B4" s="20">
        <v>46012.0</v>
      </c>
      <c r="C4" s="21"/>
      <c r="D4" s="2"/>
      <c r="E4" s="2"/>
      <c r="F4" s="2"/>
      <c r="G4" s="2"/>
      <c r="H4" s="2"/>
      <c r="I4" s="2"/>
      <c r="J4" s="17" t="s">
        <v>17</v>
      </c>
      <c r="L4" s="15">
        <f>(L2-L3)/L2*100</f>
        <v>6.206896552</v>
      </c>
      <c r="M4" s="2"/>
      <c r="N4" s="18" t="s">
        <v>18</v>
      </c>
      <c r="O4" s="22">
        <f>O2/O3</f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</row>
    <row r="5" ht="14.25" customHeight="1">
      <c r="A5" s="15" t="s">
        <v>19</v>
      </c>
      <c r="B5" s="23">
        <f>B4</f>
        <v>46012</v>
      </c>
      <c r="C5" s="23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</row>
    <row r="6" ht="14.25" customHeight="1">
      <c r="A6" s="7" t="s">
        <v>20</v>
      </c>
      <c r="B6" s="7" t="s">
        <v>21</v>
      </c>
      <c r="C6" s="24" t="s">
        <v>22</v>
      </c>
      <c r="D6" s="24" t="s">
        <v>23</v>
      </c>
      <c r="E6" s="24" t="s">
        <v>24</v>
      </c>
      <c r="F6" s="24" t="s">
        <v>25</v>
      </c>
      <c r="G6" s="7" t="s">
        <v>26</v>
      </c>
      <c r="H6" s="7" t="s">
        <v>27</v>
      </c>
      <c r="I6" s="7" t="s">
        <v>28</v>
      </c>
      <c r="J6" s="24" t="s">
        <v>29</v>
      </c>
      <c r="K6" s="24" t="s">
        <v>30</v>
      </c>
      <c r="L6" s="24" t="s">
        <v>31</v>
      </c>
      <c r="M6" s="24" t="s">
        <v>32</v>
      </c>
      <c r="N6" s="7" t="s">
        <v>33</v>
      </c>
      <c r="O6" s="24" t="s">
        <v>34</v>
      </c>
      <c r="P6" s="7" t="s">
        <v>35</v>
      </c>
      <c r="Q6" s="24" t="s">
        <v>36</v>
      </c>
      <c r="R6" s="24" t="s">
        <v>37</v>
      </c>
      <c r="S6" s="7" t="s">
        <v>38</v>
      </c>
      <c r="T6" s="7" t="s">
        <v>39</v>
      </c>
      <c r="U6" s="2"/>
      <c r="V6" s="2"/>
      <c r="W6" s="15" t="s">
        <v>23</v>
      </c>
      <c r="X6" s="2"/>
      <c r="Y6" s="25" t="s">
        <v>40</v>
      </c>
      <c r="Z6" s="25" t="s">
        <v>41</v>
      </c>
      <c r="AA6" s="25" t="s">
        <v>29</v>
      </c>
      <c r="AB6" s="25" t="s">
        <v>38</v>
      </c>
      <c r="AC6" s="25" t="s">
        <v>42</v>
      </c>
      <c r="AD6" s="2"/>
      <c r="AE6" s="15" t="s">
        <v>43</v>
      </c>
      <c r="AF6" s="2"/>
      <c r="AG6" s="15" t="s">
        <v>44</v>
      </c>
      <c r="AH6" s="15"/>
      <c r="AI6" s="18" t="s">
        <v>34</v>
      </c>
    </row>
    <row r="7" ht="14.25" customHeight="1">
      <c r="A7" s="8" t="str">
        <f t="shared" ref="A7:A77" si="1">IF(B7&lt;&gt;"", MAX(A$6:A6)+1, "")</f>
        <v/>
      </c>
      <c r="B7" s="9"/>
      <c r="C7" s="9"/>
      <c r="D7" s="9"/>
      <c r="E7" s="11"/>
      <c r="F7" s="11"/>
      <c r="G7" s="9"/>
      <c r="H7" s="12"/>
      <c r="I7" s="26">
        <f t="shared" ref="I7:I77" si="2">IFERROR(VLOOKUP(G7,$Z$7:$AA$220,2,FALSE),0)</f>
        <v>0</v>
      </c>
      <c r="J7" s="27">
        <f t="shared" ref="J7:J77" si="3">H7*I7</f>
        <v>0</v>
      </c>
      <c r="K7" s="28"/>
      <c r="L7" s="27">
        <f t="shared" ref="L7:L77" si="4">J7*K7</f>
        <v>0</v>
      </c>
      <c r="M7" s="29">
        <f t="shared" ref="M7:M77" si="5">if(or(O7="complementary",O7="Annual Pkg",O7="Deluxe Membership",O7="Premium Membership",O7="Hair Salon",O7="Customized Voucher",O7="Gift Voucher"),0,J7-L7)</f>
        <v>0</v>
      </c>
      <c r="N7" s="12"/>
      <c r="O7" s="12"/>
      <c r="P7" s="9"/>
      <c r="Q7" s="30"/>
      <c r="R7" s="27">
        <f t="shared" ref="R7:R77" si="6">IFERROR(IF(VLOOKUP(G7, $Z$7:$AC$220, 4, FALSE) = 0, (F7 - E7) * 1440, VLOOKUP(G7, $Z$7:$AC$220, 4, FALSE)), (F7 - E7) * 1440)</f>
        <v>0</v>
      </c>
      <c r="S7" s="27">
        <f t="shared" ref="S7:S77" si="7">IFERROR(VLOOKUP(G7,$Z$7:$AC$220,3,FALSE),0)</f>
        <v>0</v>
      </c>
      <c r="T7" s="9"/>
      <c r="U7" s="2"/>
      <c r="V7" s="2"/>
      <c r="W7" s="13" t="s">
        <v>45</v>
      </c>
      <c r="X7" s="2"/>
      <c r="Y7" s="9">
        <v>1.0</v>
      </c>
      <c r="Z7" s="9" t="s">
        <v>46</v>
      </c>
      <c r="AA7" s="9">
        <v>4200.0</v>
      </c>
      <c r="AB7" s="9" t="s">
        <v>47</v>
      </c>
      <c r="AC7" s="9">
        <v>60.0</v>
      </c>
      <c r="AD7" s="2"/>
      <c r="AE7" s="13" t="s">
        <v>48</v>
      </c>
      <c r="AF7" s="2"/>
      <c r="AG7" s="31" t="s">
        <v>49</v>
      </c>
      <c r="AH7" s="2"/>
      <c r="AI7" s="13" t="s">
        <v>50</v>
      </c>
    </row>
    <row r="8" ht="14.25" customHeight="1">
      <c r="A8" s="8" t="str">
        <f t="shared" si="1"/>
        <v/>
      </c>
      <c r="B8" s="9"/>
      <c r="C8" s="9"/>
      <c r="D8" s="9"/>
      <c r="E8" s="11"/>
      <c r="F8" s="11"/>
      <c r="G8" s="9"/>
      <c r="H8" s="12"/>
      <c r="I8" s="26">
        <f t="shared" si="2"/>
        <v>0</v>
      </c>
      <c r="J8" s="27">
        <f t="shared" si="3"/>
        <v>0</v>
      </c>
      <c r="K8" s="28"/>
      <c r="L8" s="27">
        <f t="shared" si="4"/>
        <v>0</v>
      </c>
      <c r="M8" s="29">
        <f t="shared" si="5"/>
        <v>0</v>
      </c>
      <c r="N8" s="12"/>
      <c r="O8" s="12"/>
      <c r="P8" s="9"/>
      <c r="Q8" s="30"/>
      <c r="R8" s="27">
        <f t="shared" si="6"/>
        <v>0</v>
      </c>
      <c r="S8" s="27">
        <f t="shared" si="7"/>
        <v>0</v>
      </c>
      <c r="T8" s="9"/>
      <c r="U8" s="2"/>
      <c r="V8" s="2"/>
      <c r="W8" s="13" t="s">
        <v>51</v>
      </c>
      <c r="X8" s="2"/>
      <c r="Y8" s="9">
        <v>2.0</v>
      </c>
      <c r="Z8" s="9" t="s">
        <v>52</v>
      </c>
      <c r="AA8" s="9">
        <v>5800.0</v>
      </c>
      <c r="AB8" s="9" t="s">
        <v>47</v>
      </c>
      <c r="AC8" s="9">
        <v>90.0</v>
      </c>
      <c r="AD8" s="2"/>
      <c r="AE8" s="13" t="s">
        <v>53</v>
      </c>
      <c r="AF8" s="2"/>
      <c r="AG8" s="32" t="s">
        <v>54</v>
      </c>
      <c r="AH8" s="2"/>
      <c r="AI8" s="13" t="s">
        <v>55</v>
      </c>
    </row>
    <row r="9" ht="14.25" customHeight="1">
      <c r="A9" s="8" t="str">
        <f t="shared" si="1"/>
        <v/>
      </c>
      <c r="B9" s="9"/>
      <c r="C9" s="9"/>
      <c r="D9" s="9"/>
      <c r="E9" s="11"/>
      <c r="F9" s="11"/>
      <c r="G9" s="9"/>
      <c r="H9" s="12"/>
      <c r="I9" s="26">
        <f t="shared" si="2"/>
        <v>0</v>
      </c>
      <c r="J9" s="27">
        <f t="shared" si="3"/>
        <v>0</v>
      </c>
      <c r="K9" s="28"/>
      <c r="L9" s="27">
        <f t="shared" si="4"/>
        <v>0</v>
      </c>
      <c r="M9" s="29">
        <f t="shared" si="5"/>
        <v>0</v>
      </c>
      <c r="N9" s="12"/>
      <c r="O9" s="12"/>
      <c r="P9" s="9"/>
      <c r="Q9" s="30"/>
      <c r="R9" s="27">
        <f t="shared" si="6"/>
        <v>0</v>
      </c>
      <c r="S9" s="27">
        <f t="shared" si="7"/>
        <v>0</v>
      </c>
      <c r="T9" s="9"/>
      <c r="U9" s="2"/>
      <c r="V9" s="2"/>
      <c r="W9" s="13" t="s">
        <v>56</v>
      </c>
      <c r="X9" s="2"/>
      <c r="Y9" s="9">
        <v>3.0</v>
      </c>
      <c r="Z9" s="9" t="s">
        <v>57</v>
      </c>
      <c r="AA9" s="9">
        <v>7200.0</v>
      </c>
      <c r="AB9" s="9" t="s">
        <v>47</v>
      </c>
      <c r="AC9" s="9">
        <v>120.0</v>
      </c>
      <c r="AD9" s="2"/>
      <c r="AE9" s="13" t="s">
        <v>58</v>
      </c>
      <c r="AF9" s="2"/>
      <c r="AG9" s="32" t="s">
        <v>59</v>
      </c>
      <c r="AH9" s="2"/>
      <c r="AI9" s="33" t="s">
        <v>60</v>
      </c>
    </row>
    <row r="10" ht="14.25" customHeight="1">
      <c r="A10" s="8" t="str">
        <f t="shared" si="1"/>
        <v/>
      </c>
      <c r="B10" s="9"/>
      <c r="D10" s="9"/>
      <c r="E10" s="11"/>
      <c r="F10" s="11"/>
      <c r="G10" s="9"/>
      <c r="H10" s="12"/>
      <c r="I10" s="26">
        <f t="shared" si="2"/>
        <v>0</v>
      </c>
      <c r="J10" s="27">
        <f t="shared" si="3"/>
        <v>0</v>
      </c>
      <c r="K10" s="28"/>
      <c r="L10" s="27">
        <f t="shared" si="4"/>
        <v>0</v>
      </c>
      <c r="M10" s="29">
        <f t="shared" si="5"/>
        <v>0</v>
      </c>
      <c r="N10" s="12"/>
      <c r="O10" s="12"/>
      <c r="P10" s="9"/>
      <c r="Q10" s="30"/>
      <c r="R10" s="27">
        <f t="shared" si="6"/>
        <v>0</v>
      </c>
      <c r="S10" s="27">
        <f t="shared" si="7"/>
        <v>0</v>
      </c>
      <c r="T10" s="9"/>
      <c r="U10" s="2"/>
      <c r="V10" s="13" t="s">
        <v>61</v>
      </c>
      <c r="W10" s="13" t="s">
        <v>62</v>
      </c>
      <c r="X10" s="2"/>
      <c r="Y10" s="9">
        <v>4.0</v>
      </c>
      <c r="Z10" s="9" t="s">
        <v>63</v>
      </c>
      <c r="AA10" s="9">
        <v>4500.0</v>
      </c>
      <c r="AB10" s="9" t="s">
        <v>47</v>
      </c>
      <c r="AC10" s="9">
        <v>60.0</v>
      </c>
      <c r="AD10" s="2"/>
      <c r="AE10" s="13" t="s">
        <v>64</v>
      </c>
      <c r="AF10" s="2"/>
      <c r="AG10" s="32" t="s">
        <v>65</v>
      </c>
      <c r="AH10" s="2"/>
      <c r="AI10" s="33" t="s">
        <v>66</v>
      </c>
    </row>
    <row r="11" ht="14.25" customHeight="1">
      <c r="A11" s="8" t="str">
        <f t="shared" si="1"/>
        <v/>
      </c>
      <c r="B11" s="9"/>
      <c r="C11" s="9"/>
      <c r="D11" s="9"/>
      <c r="E11" s="11"/>
      <c r="F11" s="11"/>
      <c r="G11" s="9"/>
      <c r="H11" s="12"/>
      <c r="I11" s="26">
        <f t="shared" si="2"/>
        <v>0</v>
      </c>
      <c r="J11" s="27">
        <f t="shared" si="3"/>
        <v>0</v>
      </c>
      <c r="K11" s="28"/>
      <c r="L11" s="27">
        <f t="shared" si="4"/>
        <v>0</v>
      </c>
      <c r="M11" s="29">
        <f t="shared" si="5"/>
        <v>0</v>
      </c>
      <c r="N11" s="12"/>
      <c r="O11" s="12"/>
      <c r="P11" s="9"/>
      <c r="Q11" s="30"/>
      <c r="R11" s="27">
        <f t="shared" si="6"/>
        <v>0</v>
      </c>
      <c r="S11" s="27">
        <f t="shared" si="7"/>
        <v>0</v>
      </c>
      <c r="T11" s="9"/>
      <c r="U11" s="2"/>
      <c r="V11" s="2"/>
      <c r="W11" s="13" t="s">
        <v>67</v>
      </c>
      <c r="X11" s="2"/>
      <c r="Y11" s="9">
        <v>5.0</v>
      </c>
      <c r="Z11" s="9" t="s">
        <v>68</v>
      </c>
      <c r="AA11" s="9">
        <v>6100.0</v>
      </c>
      <c r="AB11" s="9" t="s">
        <v>47</v>
      </c>
      <c r="AC11" s="9">
        <v>90.0</v>
      </c>
      <c r="AD11" s="2"/>
      <c r="AE11" s="13" t="s">
        <v>69</v>
      </c>
      <c r="AF11" s="2"/>
      <c r="AG11" s="32" t="s">
        <v>70</v>
      </c>
      <c r="AH11" s="2"/>
      <c r="AI11" s="13" t="s">
        <v>71</v>
      </c>
    </row>
    <row r="12" ht="14.25" customHeight="1">
      <c r="A12" s="8" t="str">
        <f t="shared" si="1"/>
        <v/>
      </c>
      <c r="B12" s="9"/>
      <c r="C12" s="9"/>
      <c r="D12" s="9"/>
      <c r="E12" s="11"/>
      <c r="F12" s="11"/>
      <c r="G12" s="9"/>
      <c r="H12" s="12"/>
      <c r="I12" s="26">
        <f t="shared" si="2"/>
        <v>0</v>
      </c>
      <c r="J12" s="27">
        <f t="shared" si="3"/>
        <v>0</v>
      </c>
      <c r="K12" s="28"/>
      <c r="L12" s="27">
        <f t="shared" si="4"/>
        <v>0</v>
      </c>
      <c r="M12" s="29">
        <f t="shared" si="5"/>
        <v>0</v>
      </c>
      <c r="N12" s="12"/>
      <c r="O12" s="12"/>
      <c r="P12" s="9"/>
      <c r="Q12" s="30"/>
      <c r="R12" s="27">
        <f t="shared" si="6"/>
        <v>0</v>
      </c>
      <c r="S12" s="27">
        <f t="shared" si="7"/>
        <v>0</v>
      </c>
      <c r="T12" s="9"/>
      <c r="U12" s="2"/>
      <c r="V12" s="2"/>
      <c r="W12" s="13" t="s">
        <v>72</v>
      </c>
      <c r="X12" s="2"/>
      <c r="Y12" s="9">
        <v>6.0</v>
      </c>
      <c r="Z12" s="9" t="s">
        <v>73</v>
      </c>
      <c r="AA12" s="9">
        <v>7500.0</v>
      </c>
      <c r="AB12" s="9" t="s">
        <v>47</v>
      </c>
      <c r="AC12" s="9">
        <v>120.0</v>
      </c>
      <c r="AD12" s="2"/>
      <c r="AE12" s="13" t="s">
        <v>74</v>
      </c>
      <c r="AF12" s="2"/>
      <c r="AG12" s="32" t="s">
        <v>75</v>
      </c>
      <c r="AH12" s="2"/>
      <c r="AI12" s="13" t="s">
        <v>76</v>
      </c>
    </row>
    <row r="13" ht="14.25" customHeight="1">
      <c r="A13" s="8" t="str">
        <f t="shared" si="1"/>
        <v/>
      </c>
      <c r="B13" s="9"/>
      <c r="C13" s="9"/>
      <c r="D13" s="9"/>
      <c r="E13" s="11"/>
      <c r="F13" s="11"/>
      <c r="G13" s="9"/>
      <c r="H13" s="12"/>
      <c r="I13" s="26">
        <f t="shared" si="2"/>
        <v>0</v>
      </c>
      <c r="J13" s="27">
        <f t="shared" si="3"/>
        <v>0</v>
      </c>
      <c r="K13" s="28"/>
      <c r="L13" s="27">
        <f t="shared" si="4"/>
        <v>0</v>
      </c>
      <c r="M13" s="29">
        <f t="shared" si="5"/>
        <v>0</v>
      </c>
      <c r="N13" s="12"/>
      <c r="O13" s="12"/>
      <c r="P13" s="9"/>
      <c r="Q13" s="30"/>
      <c r="R13" s="27">
        <f t="shared" si="6"/>
        <v>0</v>
      </c>
      <c r="S13" s="27">
        <f t="shared" si="7"/>
        <v>0</v>
      </c>
      <c r="T13" s="9"/>
      <c r="U13" s="2"/>
      <c r="V13" s="2"/>
      <c r="W13" s="13" t="s">
        <v>77</v>
      </c>
      <c r="X13" s="2"/>
      <c r="Y13" s="9">
        <v>7.0</v>
      </c>
      <c r="Z13" s="9" t="s">
        <v>78</v>
      </c>
      <c r="AA13" s="9">
        <v>2500.0</v>
      </c>
      <c r="AB13" s="9" t="s">
        <v>47</v>
      </c>
      <c r="AC13" s="9">
        <v>30.0</v>
      </c>
      <c r="AD13" s="2"/>
      <c r="AE13" s="13" t="s">
        <v>79</v>
      </c>
      <c r="AF13" s="2"/>
      <c r="AG13" s="32" t="s">
        <v>80</v>
      </c>
      <c r="AH13" s="2"/>
      <c r="AI13" s="13" t="s">
        <v>81</v>
      </c>
    </row>
    <row r="14" ht="14.25" customHeight="1">
      <c r="A14" s="8" t="str">
        <f t="shared" si="1"/>
        <v/>
      </c>
      <c r="B14" s="9"/>
      <c r="C14" s="9"/>
      <c r="D14" s="9"/>
      <c r="E14" s="11"/>
      <c r="F14" s="11"/>
      <c r="G14" s="9"/>
      <c r="H14" s="12"/>
      <c r="I14" s="26">
        <f t="shared" si="2"/>
        <v>0</v>
      </c>
      <c r="J14" s="27">
        <f t="shared" si="3"/>
        <v>0</v>
      </c>
      <c r="K14" s="28"/>
      <c r="L14" s="27">
        <f t="shared" si="4"/>
        <v>0</v>
      </c>
      <c r="M14" s="29">
        <f t="shared" si="5"/>
        <v>0</v>
      </c>
      <c r="N14" s="12"/>
      <c r="O14" s="12"/>
      <c r="P14" s="9"/>
      <c r="Q14" s="30"/>
      <c r="R14" s="27">
        <f t="shared" si="6"/>
        <v>0</v>
      </c>
      <c r="S14" s="27">
        <f t="shared" si="7"/>
        <v>0</v>
      </c>
      <c r="T14" s="9"/>
      <c r="U14" s="2"/>
      <c r="V14" s="2"/>
      <c r="W14" s="13" t="s">
        <v>82</v>
      </c>
      <c r="X14" s="2"/>
      <c r="Y14" s="9">
        <v>8.0</v>
      </c>
      <c r="Z14" s="9" t="s">
        <v>83</v>
      </c>
      <c r="AA14" s="9">
        <v>3400.0</v>
      </c>
      <c r="AB14" s="9" t="s">
        <v>47</v>
      </c>
      <c r="AC14" s="9">
        <v>45.0</v>
      </c>
      <c r="AD14" s="2"/>
      <c r="AE14" s="13" t="s">
        <v>84</v>
      </c>
      <c r="AF14" s="2"/>
      <c r="AG14" s="32" t="s">
        <v>85</v>
      </c>
      <c r="AH14" s="2"/>
      <c r="AI14" s="13" t="s">
        <v>86</v>
      </c>
    </row>
    <row r="15" ht="14.25" customHeight="1">
      <c r="A15" s="8" t="str">
        <f t="shared" si="1"/>
        <v/>
      </c>
      <c r="B15" s="9"/>
      <c r="C15" s="9"/>
      <c r="D15" s="9"/>
      <c r="E15" s="11"/>
      <c r="F15" s="11"/>
      <c r="G15" s="9"/>
      <c r="H15" s="12"/>
      <c r="I15" s="26">
        <f t="shared" si="2"/>
        <v>0</v>
      </c>
      <c r="J15" s="27">
        <f t="shared" si="3"/>
        <v>0</v>
      </c>
      <c r="K15" s="28"/>
      <c r="L15" s="27">
        <f t="shared" si="4"/>
        <v>0</v>
      </c>
      <c r="M15" s="29">
        <f t="shared" si="5"/>
        <v>0</v>
      </c>
      <c r="N15" s="12"/>
      <c r="O15" s="12"/>
      <c r="P15" s="9"/>
      <c r="Q15" s="30"/>
      <c r="R15" s="27">
        <f t="shared" si="6"/>
        <v>0</v>
      </c>
      <c r="S15" s="27">
        <f t="shared" si="7"/>
        <v>0</v>
      </c>
      <c r="T15" s="9"/>
      <c r="U15" s="2"/>
      <c r="V15" s="2"/>
      <c r="W15" s="13" t="s">
        <v>87</v>
      </c>
      <c r="X15" s="2"/>
      <c r="Y15" s="9">
        <v>9.0</v>
      </c>
      <c r="Z15" s="9" t="s">
        <v>88</v>
      </c>
      <c r="AA15" s="9">
        <v>4200.0</v>
      </c>
      <c r="AB15" s="9" t="s">
        <v>47</v>
      </c>
      <c r="AC15" s="9">
        <v>60.0</v>
      </c>
      <c r="AD15" s="2"/>
      <c r="AE15" s="13" t="s">
        <v>89</v>
      </c>
      <c r="AF15" s="2"/>
      <c r="AG15" s="32" t="s">
        <v>90</v>
      </c>
      <c r="AH15" s="2"/>
      <c r="AI15" s="13" t="s">
        <v>91</v>
      </c>
    </row>
    <row r="16" ht="14.25" customHeight="1">
      <c r="A16" s="8" t="str">
        <f t="shared" si="1"/>
        <v/>
      </c>
      <c r="B16" s="9"/>
      <c r="C16" s="9"/>
      <c r="D16" s="9"/>
      <c r="E16" s="11"/>
      <c r="F16" s="11"/>
      <c r="G16" s="9"/>
      <c r="H16" s="12"/>
      <c r="I16" s="26">
        <f t="shared" si="2"/>
        <v>0</v>
      </c>
      <c r="J16" s="27">
        <f t="shared" si="3"/>
        <v>0</v>
      </c>
      <c r="K16" s="28"/>
      <c r="L16" s="27">
        <f t="shared" si="4"/>
        <v>0</v>
      </c>
      <c r="M16" s="29">
        <f t="shared" si="5"/>
        <v>0</v>
      </c>
      <c r="N16" s="12"/>
      <c r="O16" s="12"/>
      <c r="P16" s="9"/>
      <c r="Q16" s="30"/>
      <c r="R16" s="27">
        <f t="shared" si="6"/>
        <v>0</v>
      </c>
      <c r="S16" s="27">
        <f t="shared" si="7"/>
        <v>0</v>
      </c>
      <c r="T16" s="9"/>
      <c r="U16" s="2"/>
      <c r="V16" s="2"/>
      <c r="W16" s="13" t="s">
        <v>92</v>
      </c>
      <c r="X16" s="2"/>
      <c r="Y16" s="9">
        <v>10.0</v>
      </c>
      <c r="Z16" s="9" t="s">
        <v>93</v>
      </c>
      <c r="AA16" s="9">
        <v>2400.0</v>
      </c>
      <c r="AB16" s="9" t="s">
        <v>47</v>
      </c>
      <c r="AC16" s="9">
        <v>30.0</v>
      </c>
      <c r="AD16" s="2"/>
      <c r="AE16" s="13" t="s">
        <v>94</v>
      </c>
      <c r="AF16" s="2"/>
      <c r="AG16" s="32" t="s">
        <v>95</v>
      </c>
      <c r="AH16" s="2"/>
      <c r="AI16" s="13" t="s">
        <v>96</v>
      </c>
    </row>
    <row r="17" ht="14.25" customHeight="1">
      <c r="A17" s="8" t="str">
        <f t="shared" si="1"/>
        <v/>
      </c>
      <c r="B17" s="9"/>
      <c r="C17" s="9"/>
      <c r="D17" s="9"/>
      <c r="E17" s="11"/>
      <c r="F17" s="11"/>
      <c r="G17" s="9"/>
      <c r="H17" s="12"/>
      <c r="I17" s="26">
        <f t="shared" si="2"/>
        <v>0</v>
      </c>
      <c r="J17" s="27">
        <f t="shared" si="3"/>
        <v>0</v>
      </c>
      <c r="K17" s="28"/>
      <c r="L17" s="27">
        <f t="shared" si="4"/>
        <v>0</v>
      </c>
      <c r="M17" s="29">
        <f t="shared" si="5"/>
        <v>0</v>
      </c>
      <c r="N17" s="12"/>
      <c r="O17" s="12"/>
      <c r="P17" s="9"/>
      <c r="Q17" s="30"/>
      <c r="R17" s="27">
        <f t="shared" si="6"/>
        <v>0</v>
      </c>
      <c r="S17" s="27">
        <f t="shared" si="7"/>
        <v>0</v>
      </c>
      <c r="T17" s="9"/>
      <c r="U17" s="2"/>
      <c r="V17" s="2"/>
      <c r="W17" s="2" t="s">
        <v>97</v>
      </c>
      <c r="X17" s="2"/>
      <c r="Y17" s="9">
        <v>11.0</v>
      </c>
      <c r="Z17" s="9" t="s">
        <v>98</v>
      </c>
      <c r="AA17" s="9">
        <v>3300.0</v>
      </c>
      <c r="AB17" s="9" t="s">
        <v>47</v>
      </c>
      <c r="AC17" s="9">
        <v>45.0</v>
      </c>
      <c r="AD17" s="2"/>
      <c r="AF17" s="2"/>
      <c r="AG17" s="32" t="s">
        <v>99</v>
      </c>
      <c r="AH17" s="2"/>
      <c r="AI17" s="13" t="s">
        <v>100</v>
      </c>
    </row>
    <row r="18" ht="14.25" customHeight="1">
      <c r="A18" s="8" t="str">
        <f t="shared" si="1"/>
        <v/>
      </c>
      <c r="B18" s="9"/>
      <c r="C18" s="9"/>
      <c r="D18" s="9"/>
      <c r="E18" s="11"/>
      <c r="F18" s="11"/>
      <c r="G18" s="9"/>
      <c r="H18" s="12"/>
      <c r="I18" s="26">
        <f t="shared" si="2"/>
        <v>0</v>
      </c>
      <c r="J18" s="27">
        <f t="shared" si="3"/>
        <v>0</v>
      </c>
      <c r="K18" s="28"/>
      <c r="L18" s="27">
        <f t="shared" si="4"/>
        <v>0</v>
      </c>
      <c r="M18" s="29">
        <f t="shared" si="5"/>
        <v>0</v>
      </c>
      <c r="N18" s="12"/>
      <c r="O18" s="12"/>
      <c r="P18" s="9"/>
      <c r="Q18" s="30"/>
      <c r="R18" s="27">
        <f t="shared" si="6"/>
        <v>0</v>
      </c>
      <c r="S18" s="27">
        <f t="shared" si="7"/>
        <v>0</v>
      </c>
      <c r="T18" s="9"/>
      <c r="U18" s="2"/>
      <c r="V18" s="2"/>
      <c r="W18" s="33" t="s">
        <v>101</v>
      </c>
      <c r="X18" s="2"/>
      <c r="Y18" s="9">
        <v>12.0</v>
      </c>
      <c r="Z18" s="9" t="s">
        <v>102</v>
      </c>
      <c r="AA18" s="9">
        <v>4100.0</v>
      </c>
      <c r="AB18" s="9" t="s">
        <v>47</v>
      </c>
      <c r="AC18" s="9">
        <v>60.0</v>
      </c>
      <c r="AD18" s="2"/>
      <c r="AF18" s="2"/>
      <c r="AG18" s="32" t="s">
        <v>103</v>
      </c>
      <c r="AH18" s="2"/>
      <c r="AI18" s="13" t="s">
        <v>104</v>
      </c>
    </row>
    <row r="19" ht="14.25" customHeight="1">
      <c r="A19" s="8" t="str">
        <f t="shared" si="1"/>
        <v/>
      </c>
      <c r="B19" s="9"/>
      <c r="C19" s="9"/>
      <c r="D19" s="9"/>
      <c r="E19" s="11"/>
      <c r="F19" s="11"/>
      <c r="G19" s="9"/>
      <c r="H19" s="12"/>
      <c r="I19" s="26">
        <f t="shared" si="2"/>
        <v>0</v>
      </c>
      <c r="J19" s="27">
        <f t="shared" si="3"/>
        <v>0</v>
      </c>
      <c r="K19" s="28"/>
      <c r="L19" s="27">
        <f t="shared" si="4"/>
        <v>0</v>
      </c>
      <c r="M19" s="29">
        <f t="shared" si="5"/>
        <v>0</v>
      </c>
      <c r="N19" s="12"/>
      <c r="O19" s="12"/>
      <c r="P19" s="9"/>
      <c r="Q19" s="30"/>
      <c r="R19" s="27">
        <f t="shared" si="6"/>
        <v>0</v>
      </c>
      <c r="S19" s="27">
        <f t="shared" si="7"/>
        <v>0</v>
      </c>
      <c r="T19" s="10"/>
      <c r="U19" s="2"/>
      <c r="V19" s="2"/>
      <c r="W19" s="2"/>
      <c r="X19" s="2"/>
      <c r="Y19" s="9">
        <v>13.0</v>
      </c>
      <c r="Z19" s="9" t="s">
        <v>105</v>
      </c>
      <c r="AA19" s="9">
        <v>2500.0</v>
      </c>
      <c r="AB19" s="9" t="s">
        <v>47</v>
      </c>
      <c r="AC19" s="9">
        <v>30.0</v>
      </c>
      <c r="AD19" s="2"/>
      <c r="AF19" s="2"/>
      <c r="AG19" s="32" t="s">
        <v>106</v>
      </c>
      <c r="AH19" s="2"/>
      <c r="AI19" s="13" t="s">
        <v>107</v>
      </c>
    </row>
    <row r="20" ht="14.25" customHeight="1">
      <c r="A20" s="8" t="str">
        <f t="shared" si="1"/>
        <v/>
      </c>
      <c r="B20" s="9"/>
      <c r="C20" s="9"/>
      <c r="D20" s="9"/>
      <c r="E20" s="11"/>
      <c r="F20" s="11"/>
      <c r="G20" s="9"/>
      <c r="H20" s="12"/>
      <c r="I20" s="26">
        <f t="shared" si="2"/>
        <v>0</v>
      </c>
      <c r="J20" s="27">
        <f t="shared" si="3"/>
        <v>0</v>
      </c>
      <c r="K20" s="28"/>
      <c r="L20" s="27">
        <f t="shared" si="4"/>
        <v>0</v>
      </c>
      <c r="M20" s="29">
        <f t="shared" si="5"/>
        <v>0</v>
      </c>
      <c r="N20" s="12"/>
      <c r="O20" s="12"/>
      <c r="P20" s="9"/>
      <c r="Q20" s="30"/>
      <c r="R20" s="27">
        <f t="shared" si="6"/>
        <v>0</v>
      </c>
      <c r="S20" s="27">
        <f t="shared" si="7"/>
        <v>0</v>
      </c>
      <c r="T20" s="9"/>
      <c r="U20" s="2"/>
      <c r="V20" s="2"/>
      <c r="W20" s="2"/>
      <c r="X20" s="2"/>
      <c r="Y20" s="9">
        <v>14.0</v>
      </c>
      <c r="Z20" s="9" t="s">
        <v>108</v>
      </c>
      <c r="AA20" s="9">
        <v>2500.0</v>
      </c>
      <c r="AB20" s="9" t="s">
        <v>47</v>
      </c>
      <c r="AC20" s="9">
        <v>30.0</v>
      </c>
      <c r="AD20" s="2"/>
      <c r="AE20" s="2"/>
      <c r="AF20" s="2"/>
      <c r="AG20" s="32" t="s">
        <v>109</v>
      </c>
      <c r="AH20" s="2"/>
      <c r="AI20" s="13" t="s">
        <v>110</v>
      </c>
    </row>
    <row r="21" ht="14.25" customHeight="1">
      <c r="A21" s="8" t="str">
        <f t="shared" si="1"/>
        <v/>
      </c>
      <c r="B21" s="9"/>
      <c r="C21" s="9"/>
      <c r="D21" s="9"/>
      <c r="E21" s="11"/>
      <c r="F21" s="11"/>
      <c r="G21" s="9"/>
      <c r="H21" s="12"/>
      <c r="I21" s="26">
        <f t="shared" si="2"/>
        <v>0</v>
      </c>
      <c r="J21" s="27">
        <f t="shared" si="3"/>
        <v>0</v>
      </c>
      <c r="K21" s="28"/>
      <c r="L21" s="27">
        <f t="shared" si="4"/>
        <v>0</v>
      </c>
      <c r="M21" s="29">
        <f t="shared" si="5"/>
        <v>0</v>
      </c>
      <c r="N21" s="12"/>
      <c r="O21" s="12"/>
      <c r="P21" s="9"/>
      <c r="Q21" s="30"/>
      <c r="R21" s="27">
        <f t="shared" si="6"/>
        <v>0</v>
      </c>
      <c r="S21" s="27">
        <f t="shared" si="7"/>
        <v>0</v>
      </c>
      <c r="T21" s="9"/>
      <c r="U21" s="2"/>
      <c r="V21" s="2"/>
      <c r="W21" s="2"/>
      <c r="X21" s="2"/>
      <c r="Y21" s="9">
        <v>15.0</v>
      </c>
      <c r="Z21" s="9" t="s">
        <v>111</v>
      </c>
      <c r="AA21" s="9">
        <v>7000.0</v>
      </c>
      <c r="AB21" s="9" t="s">
        <v>47</v>
      </c>
      <c r="AC21" s="9">
        <v>90.0</v>
      </c>
      <c r="AD21" s="2"/>
      <c r="AE21" s="2"/>
      <c r="AF21" s="2"/>
      <c r="AG21" s="32" t="s">
        <v>112</v>
      </c>
      <c r="AH21" s="2"/>
      <c r="AI21" s="2"/>
    </row>
    <row r="22" ht="14.25" customHeight="1">
      <c r="A22" s="8" t="str">
        <f t="shared" si="1"/>
        <v/>
      </c>
      <c r="B22" s="9"/>
      <c r="C22" s="9"/>
      <c r="D22" s="9"/>
      <c r="E22" s="11"/>
      <c r="F22" s="11"/>
      <c r="G22" s="9"/>
      <c r="H22" s="12"/>
      <c r="I22" s="26">
        <f t="shared" si="2"/>
        <v>0</v>
      </c>
      <c r="J22" s="27">
        <f t="shared" si="3"/>
        <v>0</v>
      </c>
      <c r="K22" s="28"/>
      <c r="L22" s="27">
        <f t="shared" si="4"/>
        <v>0</v>
      </c>
      <c r="M22" s="29">
        <f t="shared" si="5"/>
        <v>0</v>
      </c>
      <c r="N22" s="12"/>
      <c r="O22" s="12"/>
      <c r="P22" s="9"/>
      <c r="Q22" s="30"/>
      <c r="R22" s="27">
        <f t="shared" si="6"/>
        <v>0</v>
      </c>
      <c r="S22" s="27">
        <f t="shared" si="7"/>
        <v>0</v>
      </c>
      <c r="T22" s="9"/>
      <c r="U22" s="2"/>
      <c r="V22" s="2"/>
      <c r="W22" s="2"/>
      <c r="X22" s="2"/>
      <c r="Y22" s="9">
        <v>16.0</v>
      </c>
      <c r="Z22" s="9" t="s">
        <v>113</v>
      </c>
      <c r="AA22" s="9">
        <v>8400.0</v>
      </c>
      <c r="AB22" s="9" t="s">
        <v>47</v>
      </c>
      <c r="AC22" s="9">
        <v>120.0</v>
      </c>
      <c r="AD22" s="2"/>
      <c r="AE22" s="2"/>
      <c r="AF22" s="2"/>
      <c r="AG22" s="32" t="s">
        <v>114</v>
      </c>
      <c r="AH22" s="2"/>
      <c r="AI22" s="2"/>
    </row>
    <row r="23" ht="14.25" customHeight="1">
      <c r="A23" s="8" t="str">
        <f t="shared" si="1"/>
        <v/>
      </c>
      <c r="B23" s="9"/>
      <c r="C23" s="9"/>
      <c r="D23" s="9"/>
      <c r="E23" s="11"/>
      <c r="F23" s="11"/>
      <c r="G23" s="9"/>
      <c r="H23" s="12"/>
      <c r="I23" s="26">
        <f t="shared" si="2"/>
        <v>0</v>
      </c>
      <c r="J23" s="27">
        <f t="shared" si="3"/>
        <v>0</v>
      </c>
      <c r="K23" s="28"/>
      <c r="L23" s="27">
        <f t="shared" si="4"/>
        <v>0</v>
      </c>
      <c r="M23" s="29">
        <f t="shared" si="5"/>
        <v>0</v>
      </c>
      <c r="N23" s="12"/>
      <c r="O23" s="12"/>
      <c r="P23" s="9"/>
      <c r="Q23" s="30"/>
      <c r="R23" s="27">
        <f t="shared" si="6"/>
        <v>0</v>
      </c>
      <c r="S23" s="27">
        <f t="shared" si="7"/>
        <v>0</v>
      </c>
      <c r="T23" s="9"/>
      <c r="U23" s="2"/>
      <c r="V23" s="2"/>
      <c r="W23" s="2"/>
      <c r="X23" s="2"/>
      <c r="Y23" s="9">
        <v>17.0</v>
      </c>
      <c r="Z23" s="9" t="s">
        <v>115</v>
      </c>
      <c r="AA23" s="9">
        <v>6700.0</v>
      </c>
      <c r="AB23" s="9" t="s">
        <v>47</v>
      </c>
      <c r="AC23" s="9">
        <v>90.0</v>
      </c>
      <c r="AD23" s="2"/>
      <c r="AE23" s="2"/>
      <c r="AF23" s="2"/>
      <c r="AG23" s="32" t="s">
        <v>116</v>
      </c>
      <c r="AH23" s="2"/>
      <c r="AI23" s="2"/>
    </row>
    <row r="24" ht="14.25" customHeight="1">
      <c r="A24" s="8" t="str">
        <f t="shared" si="1"/>
        <v/>
      </c>
      <c r="B24" s="9"/>
      <c r="C24" s="9"/>
      <c r="D24" s="9"/>
      <c r="E24" s="11"/>
      <c r="F24" s="11"/>
      <c r="G24" s="9"/>
      <c r="H24" s="12"/>
      <c r="I24" s="26">
        <f t="shared" si="2"/>
        <v>0</v>
      </c>
      <c r="J24" s="27">
        <f t="shared" si="3"/>
        <v>0</v>
      </c>
      <c r="K24" s="28"/>
      <c r="L24" s="27">
        <f t="shared" si="4"/>
        <v>0</v>
      </c>
      <c r="M24" s="29">
        <f t="shared" si="5"/>
        <v>0</v>
      </c>
      <c r="N24" s="12"/>
      <c r="O24" s="12"/>
      <c r="P24" s="9"/>
      <c r="Q24" s="30"/>
      <c r="R24" s="27">
        <f t="shared" si="6"/>
        <v>0</v>
      </c>
      <c r="S24" s="27">
        <f t="shared" si="7"/>
        <v>0</v>
      </c>
      <c r="T24" s="9"/>
      <c r="U24" s="2"/>
      <c r="V24" s="2"/>
      <c r="W24" s="2"/>
      <c r="X24" s="2"/>
      <c r="Y24" s="9">
        <v>18.0</v>
      </c>
      <c r="Z24" s="9" t="s">
        <v>117</v>
      </c>
      <c r="AA24" s="9">
        <v>8100.0</v>
      </c>
      <c r="AB24" s="9" t="s">
        <v>47</v>
      </c>
      <c r="AC24" s="9">
        <v>120.0</v>
      </c>
      <c r="AD24" s="2"/>
      <c r="AE24" s="2"/>
      <c r="AF24" s="2"/>
      <c r="AG24" s="32" t="s">
        <v>118</v>
      </c>
      <c r="AH24" s="2"/>
      <c r="AI24" s="2"/>
    </row>
    <row r="25" ht="14.25" customHeight="1">
      <c r="A25" s="8" t="str">
        <f t="shared" si="1"/>
        <v/>
      </c>
      <c r="B25" s="9"/>
      <c r="C25" s="9"/>
      <c r="D25" s="9"/>
      <c r="E25" s="11"/>
      <c r="F25" s="11"/>
      <c r="G25" s="9"/>
      <c r="H25" s="12"/>
      <c r="I25" s="26">
        <f t="shared" si="2"/>
        <v>0</v>
      </c>
      <c r="J25" s="27">
        <f t="shared" si="3"/>
        <v>0</v>
      </c>
      <c r="K25" s="28"/>
      <c r="L25" s="27">
        <f t="shared" si="4"/>
        <v>0</v>
      </c>
      <c r="M25" s="29">
        <f t="shared" si="5"/>
        <v>0</v>
      </c>
      <c r="N25" s="8"/>
      <c r="O25" s="12"/>
      <c r="P25" s="9"/>
      <c r="Q25" s="30"/>
      <c r="R25" s="27">
        <f t="shared" si="6"/>
        <v>0</v>
      </c>
      <c r="S25" s="27">
        <f t="shared" si="7"/>
        <v>0</v>
      </c>
      <c r="T25" s="10"/>
      <c r="U25" s="2"/>
      <c r="V25" s="2"/>
      <c r="W25" s="2"/>
      <c r="X25" s="2"/>
      <c r="Y25" s="9">
        <v>19.0</v>
      </c>
      <c r="Z25" s="9" t="s">
        <v>119</v>
      </c>
      <c r="AA25" s="9">
        <v>4500.0</v>
      </c>
      <c r="AB25" s="9" t="s">
        <v>47</v>
      </c>
      <c r="AC25" s="9">
        <v>60.0</v>
      </c>
      <c r="AD25" s="2"/>
      <c r="AE25" s="2"/>
      <c r="AF25" s="2"/>
      <c r="AG25" s="32" t="s">
        <v>120</v>
      </c>
      <c r="AH25" s="2"/>
      <c r="AI25" s="2"/>
    </row>
    <row r="26" ht="14.25" customHeight="1">
      <c r="A26" s="8" t="str">
        <f t="shared" si="1"/>
        <v/>
      </c>
      <c r="B26" s="9"/>
      <c r="C26" s="9"/>
      <c r="D26" s="9"/>
      <c r="E26" s="11"/>
      <c r="F26" s="11"/>
      <c r="G26" s="9"/>
      <c r="H26" s="12"/>
      <c r="I26" s="26">
        <f t="shared" si="2"/>
        <v>0</v>
      </c>
      <c r="J26" s="27">
        <f t="shared" si="3"/>
        <v>0</v>
      </c>
      <c r="K26" s="28"/>
      <c r="L26" s="27">
        <f t="shared" si="4"/>
        <v>0</v>
      </c>
      <c r="M26" s="29">
        <f t="shared" si="5"/>
        <v>0</v>
      </c>
      <c r="N26" s="12"/>
      <c r="O26" s="12"/>
      <c r="P26" s="9"/>
      <c r="Q26" s="30"/>
      <c r="R26" s="27">
        <f t="shared" si="6"/>
        <v>0</v>
      </c>
      <c r="S26" s="27">
        <f t="shared" si="7"/>
        <v>0</v>
      </c>
      <c r="T26" s="9"/>
      <c r="U26" s="2"/>
      <c r="V26" s="2"/>
      <c r="W26" s="2"/>
      <c r="X26" s="2"/>
      <c r="Y26" s="9">
        <v>20.0</v>
      </c>
      <c r="Z26" s="9" t="s">
        <v>121</v>
      </c>
      <c r="AA26" s="9">
        <v>6000.0</v>
      </c>
      <c r="AB26" s="9" t="s">
        <v>47</v>
      </c>
      <c r="AC26" s="9">
        <v>90.0</v>
      </c>
      <c r="AD26" s="2"/>
      <c r="AE26" s="2"/>
      <c r="AF26" s="2"/>
      <c r="AG26" s="34" t="s">
        <v>122</v>
      </c>
      <c r="AH26" s="2"/>
      <c r="AI26" s="2"/>
    </row>
    <row r="27" ht="14.25" customHeight="1">
      <c r="A27" s="8" t="str">
        <f t="shared" si="1"/>
        <v/>
      </c>
      <c r="B27" s="9"/>
      <c r="C27" s="9"/>
      <c r="D27" s="9"/>
      <c r="E27" s="11"/>
      <c r="F27" s="11"/>
      <c r="G27" s="9"/>
      <c r="H27" s="12"/>
      <c r="I27" s="26">
        <f t="shared" si="2"/>
        <v>0</v>
      </c>
      <c r="J27" s="27">
        <f t="shared" si="3"/>
        <v>0</v>
      </c>
      <c r="K27" s="28"/>
      <c r="L27" s="27">
        <f t="shared" si="4"/>
        <v>0</v>
      </c>
      <c r="M27" s="29">
        <f t="shared" si="5"/>
        <v>0</v>
      </c>
      <c r="N27" s="12"/>
      <c r="O27" s="12"/>
      <c r="P27" s="9"/>
      <c r="Q27" s="30"/>
      <c r="R27" s="27">
        <f t="shared" si="6"/>
        <v>0</v>
      </c>
      <c r="S27" s="27">
        <f t="shared" si="7"/>
        <v>0</v>
      </c>
      <c r="T27" s="9"/>
      <c r="U27" s="2"/>
      <c r="V27" s="2"/>
      <c r="W27" s="2"/>
      <c r="X27" s="2"/>
      <c r="Y27" s="9">
        <v>21.0</v>
      </c>
      <c r="Z27" s="9" t="s">
        <v>123</v>
      </c>
      <c r="AA27" s="9">
        <v>7400.0</v>
      </c>
      <c r="AB27" s="9" t="s">
        <v>47</v>
      </c>
      <c r="AC27" s="9">
        <v>120.0</v>
      </c>
      <c r="AD27" s="2"/>
      <c r="AE27" s="2"/>
      <c r="AF27" s="2"/>
      <c r="AG27" s="35" t="s">
        <v>124</v>
      </c>
      <c r="AH27" s="2"/>
      <c r="AI27" s="2"/>
    </row>
    <row r="28" ht="14.25" customHeight="1">
      <c r="A28" s="8" t="str">
        <f t="shared" si="1"/>
        <v/>
      </c>
      <c r="B28" s="9"/>
      <c r="C28" s="9"/>
      <c r="D28" s="9"/>
      <c r="E28" s="11"/>
      <c r="F28" s="11"/>
      <c r="G28" s="9"/>
      <c r="H28" s="12"/>
      <c r="I28" s="26">
        <f t="shared" si="2"/>
        <v>0</v>
      </c>
      <c r="J28" s="27">
        <f t="shared" si="3"/>
        <v>0</v>
      </c>
      <c r="K28" s="28"/>
      <c r="L28" s="27">
        <f t="shared" si="4"/>
        <v>0</v>
      </c>
      <c r="M28" s="29">
        <f t="shared" si="5"/>
        <v>0</v>
      </c>
      <c r="N28" s="12"/>
      <c r="O28" s="12"/>
      <c r="P28" s="9"/>
      <c r="Q28" s="30"/>
      <c r="R28" s="27">
        <f t="shared" si="6"/>
        <v>0</v>
      </c>
      <c r="S28" s="27">
        <f t="shared" si="7"/>
        <v>0</v>
      </c>
      <c r="T28" s="9"/>
      <c r="U28" s="2"/>
      <c r="V28" s="2"/>
      <c r="W28" s="2"/>
      <c r="X28" s="2"/>
      <c r="Y28" s="9">
        <v>22.0</v>
      </c>
      <c r="Z28" s="9" t="s">
        <v>125</v>
      </c>
      <c r="AA28" s="9">
        <v>6600.0</v>
      </c>
      <c r="AB28" s="9" t="s">
        <v>47</v>
      </c>
      <c r="AC28" s="9">
        <v>90.0</v>
      </c>
      <c r="AD28" s="2"/>
      <c r="AE28" s="2"/>
      <c r="AF28" s="2"/>
      <c r="AG28" s="35" t="s">
        <v>126</v>
      </c>
      <c r="AH28" s="2"/>
      <c r="AI28" s="2"/>
    </row>
    <row r="29" ht="14.25" customHeight="1">
      <c r="A29" s="8" t="str">
        <f t="shared" si="1"/>
        <v/>
      </c>
      <c r="B29" s="9"/>
      <c r="C29" s="9"/>
      <c r="D29" s="9"/>
      <c r="E29" s="11"/>
      <c r="F29" s="11"/>
      <c r="G29" s="9"/>
      <c r="H29" s="12"/>
      <c r="I29" s="26">
        <f t="shared" si="2"/>
        <v>0</v>
      </c>
      <c r="J29" s="27">
        <f t="shared" si="3"/>
        <v>0</v>
      </c>
      <c r="K29" s="28"/>
      <c r="L29" s="27">
        <f t="shared" si="4"/>
        <v>0</v>
      </c>
      <c r="M29" s="29">
        <f t="shared" si="5"/>
        <v>0</v>
      </c>
      <c r="N29" s="12"/>
      <c r="O29" s="12"/>
      <c r="P29" s="9"/>
      <c r="Q29" s="30"/>
      <c r="R29" s="27">
        <f t="shared" si="6"/>
        <v>0</v>
      </c>
      <c r="S29" s="27">
        <f t="shared" si="7"/>
        <v>0</v>
      </c>
      <c r="T29" s="9"/>
      <c r="U29" s="2"/>
      <c r="V29" s="2"/>
      <c r="W29" s="2"/>
      <c r="X29" s="2"/>
      <c r="Y29" s="9">
        <v>23.0</v>
      </c>
      <c r="Z29" s="9" t="s">
        <v>127</v>
      </c>
      <c r="AA29" s="9">
        <v>8200.0</v>
      </c>
      <c r="AB29" s="9" t="s">
        <v>47</v>
      </c>
      <c r="AC29" s="9">
        <v>120.0</v>
      </c>
      <c r="AD29" s="2"/>
      <c r="AE29" s="2"/>
      <c r="AF29" s="2"/>
      <c r="AG29" s="35" t="s">
        <v>128</v>
      </c>
      <c r="AH29" s="2"/>
      <c r="AI29" s="2"/>
    </row>
    <row r="30" ht="14.25" customHeight="1">
      <c r="A30" s="8" t="str">
        <f t="shared" si="1"/>
        <v/>
      </c>
      <c r="B30" s="9"/>
      <c r="C30" s="9"/>
      <c r="D30" s="9"/>
      <c r="E30" s="11"/>
      <c r="F30" s="11"/>
      <c r="G30" s="9"/>
      <c r="H30" s="12"/>
      <c r="I30" s="26">
        <f t="shared" si="2"/>
        <v>0</v>
      </c>
      <c r="J30" s="27">
        <f t="shared" si="3"/>
        <v>0</v>
      </c>
      <c r="K30" s="28"/>
      <c r="L30" s="27">
        <f t="shared" si="4"/>
        <v>0</v>
      </c>
      <c r="M30" s="29">
        <f t="shared" si="5"/>
        <v>0</v>
      </c>
      <c r="N30" s="12"/>
      <c r="O30" s="12"/>
      <c r="P30" s="9"/>
      <c r="Q30" s="30"/>
      <c r="R30" s="27">
        <f t="shared" si="6"/>
        <v>0</v>
      </c>
      <c r="S30" s="27">
        <f t="shared" si="7"/>
        <v>0</v>
      </c>
      <c r="T30" s="9"/>
      <c r="U30" s="2"/>
      <c r="V30" s="2"/>
      <c r="W30" s="2"/>
      <c r="X30" s="2"/>
      <c r="Y30" s="9">
        <v>24.0</v>
      </c>
      <c r="Z30" s="9" t="s">
        <v>129</v>
      </c>
      <c r="AA30" s="9">
        <v>8400.0</v>
      </c>
      <c r="AB30" s="9" t="s">
        <v>130</v>
      </c>
      <c r="AC30" s="9">
        <v>120.0</v>
      </c>
      <c r="AD30" s="2"/>
      <c r="AE30" s="2"/>
      <c r="AF30" s="2"/>
      <c r="AG30" s="35" t="s">
        <v>131</v>
      </c>
      <c r="AH30" s="13"/>
      <c r="AI30" s="2"/>
    </row>
    <row r="31" ht="14.25" customHeight="1">
      <c r="A31" s="8" t="str">
        <f t="shared" si="1"/>
        <v/>
      </c>
      <c r="B31" s="9"/>
      <c r="C31" s="9"/>
      <c r="D31" s="9"/>
      <c r="E31" s="11"/>
      <c r="F31" s="11"/>
      <c r="G31" s="9"/>
      <c r="H31" s="12"/>
      <c r="I31" s="26">
        <f t="shared" si="2"/>
        <v>0</v>
      </c>
      <c r="J31" s="27">
        <f t="shared" si="3"/>
        <v>0</v>
      </c>
      <c r="K31" s="28"/>
      <c r="L31" s="27">
        <f t="shared" si="4"/>
        <v>0</v>
      </c>
      <c r="M31" s="29">
        <f t="shared" si="5"/>
        <v>0</v>
      </c>
      <c r="N31" s="12"/>
      <c r="O31" s="12"/>
      <c r="P31" s="9"/>
      <c r="Q31" s="30"/>
      <c r="R31" s="27">
        <f t="shared" si="6"/>
        <v>0</v>
      </c>
      <c r="S31" s="27">
        <f t="shared" si="7"/>
        <v>0</v>
      </c>
      <c r="T31" s="9"/>
      <c r="U31" s="2"/>
      <c r="V31" s="2"/>
      <c r="W31" s="2"/>
      <c r="X31" s="2"/>
      <c r="Y31" s="9">
        <v>25.0</v>
      </c>
      <c r="Z31" s="9" t="s">
        <v>132</v>
      </c>
      <c r="AA31" s="9">
        <v>10700.0</v>
      </c>
      <c r="AB31" s="9" t="s">
        <v>130</v>
      </c>
      <c r="AC31" s="9">
        <v>150.0</v>
      </c>
      <c r="AD31" s="2"/>
      <c r="AE31" s="2"/>
      <c r="AF31" s="2"/>
      <c r="AG31" s="35" t="s">
        <v>133</v>
      </c>
      <c r="AH31" s="13"/>
      <c r="AI31" s="2"/>
    </row>
    <row r="32" ht="14.25" customHeight="1">
      <c r="A32" s="8" t="str">
        <f t="shared" si="1"/>
        <v/>
      </c>
      <c r="B32" s="9"/>
      <c r="C32" s="9"/>
      <c r="D32" s="9"/>
      <c r="E32" s="11"/>
      <c r="F32" s="11"/>
      <c r="G32" s="9"/>
      <c r="H32" s="12"/>
      <c r="I32" s="26">
        <f t="shared" si="2"/>
        <v>0</v>
      </c>
      <c r="J32" s="27">
        <f t="shared" si="3"/>
        <v>0</v>
      </c>
      <c r="K32" s="28"/>
      <c r="L32" s="27">
        <f t="shared" si="4"/>
        <v>0</v>
      </c>
      <c r="M32" s="29">
        <f t="shared" si="5"/>
        <v>0</v>
      </c>
      <c r="N32" s="12"/>
      <c r="O32" s="12"/>
      <c r="P32" s="9"/>
      <c r="Q32" s="30"/>
      <c r="R32" s="27">
        <f t="shared" si="6"/>
        <v>0</v>
      </c>
      <c r="S32" s="27">
        <f t="shared" si="7"/>
        <v>0</v>
      </c>
      <c r="T32" s="9"/>
      <c r="U32" s="2"/>
      <c r="V32" s="2"/>
      <c r="W32" s="2"/>
      <c r="X32" s="2"/>
      <c r="Y32" s="9">
        <v>26.0</v>
      </c>
      <c r="Z32" s="9" t="s">
        <v>134</v>
      </c>
      <c r="AA32" s="9">
        <v>9900.0</v>
      </c>
      <c r="AB32" s="9" t="s">
        <v>130</v>
      </c>
      <c r="AC32" s="9">
        <v>150.0</v>
      </c>
      <c r="AD32" s="2"/>
      <c r="AE32" s="2"/>
      <c r="AF32" s="2"/>
      <c r="AG32" s="35" t="s">
        <v>135</v>
      </c>
      <c r="AH32" s="13"/>
      <c r="AI32" s="2"/>
    </row>
    <row r="33" ht="14.25" customHeight="1">
      <c r="A33" s="8" t="str">
        <f t="shared" si="1"/>
        <v/>
      </c>
      <c r="B33" s="9"/>
      <c r="C33" s="9"/>
      <c r="D33" s="9"/>
      <c r="E33" s="11"/>
      <c r="F33" s="11"/>
      <c r="G33" s="9"/>
      <c r="H33" s="12"/>
      <c r="I33" s="26">
        <f t="shared" si="2"/>
        <v>0</v>
      </c>
      <c r="J33" s="27">
        <f t="shared" si="3"/>
        <v>0</v>
      </c>
      <c r="K33" s="28"/>
      <c r="L33" s="27">
        <f t="shared" si="4"/>
        <v>0</v>
      </c>
      <c r="M33" s="29">
        <f t="shared" si="5"/>
        <v>0</v>
      </c>
      <c r="N33" s="12"/>
      <c r="O33" s="12"/>
      <c r="P33" s="9"/>
      <c r="Q33" s="30"/>
      <c r="R33" s="27">
        <f t="shared" si="6"/>
        <v>0</v>
      </c>
      <c r="S33" s="27">
        <f t="shared" si="7"/>
        <v>0</v>
      </c>
      <c r="T33" s="9"/>
      <c r="U33" s="2"/>
      <c r="V33" s="2"/>
      <c r="W33" s="2"/>
      <c r="X33" s="2"/>
      <c r="Y33" s="9">
        <v>27.0</v>
      </c>
      <c r="Z33" s="9" t="s">
        <v>136</v>
      </c>
      <c r="AA33" s="9">
        <v>11200.0</v>
      </c>
      <c r="AB33" s="9" t="s">
        <v>130</v>
      </c>
      <c r="AC33" s="9">
        <v>180.0</v>
      </c>
      <c r="AD33" s="2"/>
      <c r="AE33" s="2"/>
      <c r="AF33" s="2"/>
      <c r="AG33" s="35" t="s">
        <v>137</v>
      </c>
      <c r="AH33" s="2"/>
      <c r="AI33" s="2"/>
    </row>
    <row r="34" ht="14.25" customHeight="1">
      <c r="A34" s="8" t="str">
        <f t="shared" si="1"/>
        <v/>
      </c>
      <c r="B34" s="9"/>
      <c r="C34" s="9"/>
      <c r="D34" s="9"/>
      <c r="E34" s="11"/>
      <c r="F34" s="11"/>
      <c r="G34" s="9"/>
      <c r="H34" s="12"/>
      <c r="I34" s="26">
        <f t="shared" si="2"/>
        <v>0</v>
      </c>
      <c r="J34" s="27">
        <f t="shared" si="3"/>
        <v>0</v>
      </c>
      <c r="K34" s="28"/>
      <c r="L34" s="27">
        <f t="shared" si="4"/>
        <v>0</v>
      </c>
      <c r="M34" s="29">
        <f t="shared" si="5"/>
        <v>0</v>
      </c>
      <c r="N34" s="12"/>
      <c r="O34" s="12"/>
      <c r="P34" s="9"/>
      <c r="Q34" s="30"/>
      <c r="R34" s="27">
        <f t="shared" si="6"/>
        <v>0</v>
      </c>
      <c r="S34" s="27">
        <f t="shared" si="7"/>
        <v>0</v>
      </c>
      <c r="T34" s="9"/>
      <c r="U34" s="2"/>
      <c r="V34" s="2"/>
      <c r="W34" s="2"/>
      <c r="X34" s="2"/>
      <c r="Y34" s="9">
        <v>28.0</v>
      </c>
      <c r="Z34" s="9" t="s">
        <v>138</v>
      </c>
      <c r="AA34" s="9">
        <v>4300.0</v>
      </c>
      <c r="AB34" s="9" t="s">
        <v>47</v>
      </c>
      <c r="AC34" s="9">
        <v>60.0</v>
      </c>
      <c r="AD34" s="2"/>
      <c r="AE34" s="2"/>
      <c r="AF34" s="2"/>
      <c r="AG34" s="35" t="s">
        <v>139</v>
      </c>
      <c r="AH34" s="2"/>
      <c r="AI34" s="2"/>
    </row>
    <row r="35" ht="14.25" customHeight="1">
      <c r="A35" s="8" t="str">
        <f t="shared" si="1"/>
        <v/>
      </c>
      <c r="B35" s="9"/>
      <c r="C35" s="9"/>
      <c r="D35" s="9"/>
      <c r="E35" s="11"/>
      <c r="F35" s="11"/>
      <c r="G35" s="9"/>
      <c r="H35" s="12"/>
      <c r="I35" s="26">
        <f t="shared" si="2"/>
        <v>0</v>
      </c>
      <c r="J35" s="27">
        <f t="shared" si="3"/>
        <v>0</v>
      </c>
      <c r="K35" s="28"/>
      <c r="L35" s="27">
        <f t="shared" si="4"/>
        <v>0</v>
      </c>
      <c r="M35" s="29">
        <f t="shared" si="5"/>
        <v>0</v>
      </c>
      <c r="N35" s="12"/>
      <c r="O35" s="12"/>
      <c r="P35" s="9"/>
      <c r="Q35" s="30"/>
      <c r="R35" s="27">
        <f t="shared" si="6"/>
        <v>0</v>
      </c>
      <c r="S35" s="27">
        <f t="shared" si="7"/>
        <v>0</v>
      </c>
      <c r="T35" s="10"/>
      <c r="U35" s="2"/>
      <c r="V35" s="2"/>
      <c r="W35" s="2"/>
      <c r="X35" s="2"/>
      <c r="Y35" s="9">
        <v>29.0</v>
      </c>
      <c r="Z35" s="9" t="s">
        <v>140</v>
      </c>
      <c r="AA35" s="9">
        <v>2300.0</v>
      </c>
      <c r="AB35" s="9" t="s">
        <v>47</v>
      </c>
      <c r="AC35" s="9">
        <v>30.0</v>
      </c>
      <c r="AD35" s="2"/>
      <c r="AE35" s="2"/>
      <c r="AF35" s="2"/>
      <c r="AG35" s="13" t="s">
        <v>141</v>
      </c>
      <c r="AH35" s="2"/>
      <c r="AI35" s="2"/>
    </row>
    <row r="36" ht="14.25" customHeight="1">
      <c r="A36" s="8" t="str">
        <f t="shared" si="1"/>
        <v/>
      </c>
      <c r="B36" s="9"/>
      <c r="C36" s="9"/>
      <c r="D36" s="9"/>
      <c r="E36" s="11"/>
      <c r="F36" s="11"/>
      <c r="G36" s="9"/>
      <c r="H36" s="12"/>
      <c r="I36" s="26">
        <f t="shared" si="2"/>
        <v>0</v>
      </c>
      <c r="J36" s="27">
        <f t="shared" si="3"/>
        <v>0</v>
      </c>
      <c r="K36" s="28"/>
      <c r="L36" s="27">
        <f t="shared" si="4"/>
        <v>0</v>
      </c>
      <c r="M36" s="29">
        <f t="shared" si="5"/>
        <v>0</v>
      </c>
      <c r="N36" s="8"/>
      <c r="O36" s="12"/>
      <c r="P36" s="9"/>
      <c r="Q36" s="30"/>
      <c r="R36" s="27">
        <f t="shared" si="6"/>
        <v>0</v>
      </c>
      <c r="S36" s="27">
        <f t="shared" si="7"/>
        <v>0</v>
      </c>
      <c r="T36" s="10"/>
      <c r="U36" s="2"/>
      <c r="V36" s="2"/>
      <c r="W36" s="2"/>
      <c r="X36" s="2"/>
      <c r="Y36" s="9">
        <v>30.0</v>
      </c>
      <c r="Z36" s="9" t="s">
        <v>142</v>
      </c>
      <c r="AA36" s="9">
        <v>3200.0</v>
      </c>
      <c r="AB36" s="9" t="s">
        <v>47</v>
      </c>
      <c r="AC36" s="9">
        <v>45.0</v>
      </c>
      <c r="AD36" s="2"/>
      <c r="AE36" s="2"/>
      <c r="AF36" s="2"/>
      <c r="AG36" s="13" t="s">
        <v>143</v>
      </c>
      <c r="AH36" s="2"/>
      <c r="AI36" s="2"/>
    </row>
    <row r="37" ht="14.25" customHeight="1">
      <c r="A37" s="8" t="str">
        <f t="shared" si="1"/>
        <v/>
      </c>
      <c r="B37" s="9"/>
      <c r="C37" s="9"/>
      <c r="D37" s="9"/>
      <c r="E37" s="11"/>
      <c r="F37" s="11"/>
      <c r="G37" s="9"/>
      <c r="H37" s="12"/>
      <c r="I37" s="26">
        <f t="shared" si="2"/>
        <v>0</v>
      </c>
      <c r="J37" s="27">
        <f t="shared" si="3"/>
        <v>0</v>
      </c>
      <c r="K37" s="28"/>
      <c r="L37" s="27">
        <f t="shared" si="4"/>
        <v>0</v>
      </c>
      <c r="M37" s="29">
        <f t="shared" si="5"/>
        <v>0</v>
      </c>
      <c r="N37" s="8"/>
      <c r="O37" s="12"/>
      <c r="P37" s="9"/>
      <c r="Q37" s="30"/>
      <c r="R37" s="27">
        <f t="shared" si="6"/>
        <v>0</v>
      </c>
      <c r="S37" s="27">
        <f t="shared" si="7"/>
        <v>0</v>
      </c>
      <c r="T37" s="10"/>
      <c r="U37" s="2"/>
      <c r="V37" s="2"/>
      <c r="W37" s="2"/>
      <c r="X37" s="2"/>
      <c r="Y37" s="9">
        <v>31.0</v>
      </c>
      <c r="Z37" s="9" t="s">
        <v>144</v>
      </c>
      <c r="AA37" s="9">
        <v>2000.0</v>
      </c>
      <c r="AB37" s="9" t="s">
        <v>145</v>
      </c>
      <c r="AC37" s="9">
        <v>60.0</v>
      </c>
      <c r="AD37" s="2"/>
      <c r="AE37" s="2"/>
      <c r="AF37" s="2"/>
      <c r="AG37" s="13" t="s">
        <v>146</v>
      </c>
      <c r="AH37" s="2"/>
      <c r="AI37" s="2"/>
    </row>
    <row r="38" ht="14.25" customHeight="1">
      <c r="A38" s="8" t="str">
        <f t="shared" si="1"/>
        <v/>
      </c>
      <c r="B38" s="9"/>
      <c r="C38" s="9"/>
      <c r="D38" s="9"/>
      <c r="E38" s="11"/>
      <c r="F38" s="11"/>
      <c r="G38" s="9"/>
      <c r="H38" s="12"/>
      <c r="I38" s="26">
        <f t="shared" si="2"/>
        <v>0</v>
      </c>
      <c r="J38" s="27">
        <f t="shared" si="3"/>
        <v>0</v>
      </c>
      <c r="K38" s="28"/>
      <c r="L38" s="27">
        <f t="shared" si="4"/>
        <v>0</v>
      </c>
      <c r="M38" s="29">
        <f t="shared" si="5"/>
        <v>0</v>
      </c>
      <c r="N38" s="8"/>
      <c r="O38" s="12"/>
      <c r="P38" s="9"/>
      <c r="Q38" s="30"/>
      <c r="R38" s="27">
        <f t="shared" si="6"/>
        <v>0</v>
      </c>
      <c r="S38" s="27">
        <f t="shared" si="7"/>
        <v>0</v>
      </c>
      <c r="T38" s="10"/>
      <c r="U38" s="2"/>
      <c r="V38" s="2"/>
      <c r="W38" s="2"/>
      <c r="X38" s="2"/>
      <c r="Y38" s="9">
        <v>32.0</v>
      </c>
      <c r="Z38" s="9" t="s">
        <v>147</v>
      </c>
      <c r="AA38" s="9">
        <v>2500.0</v>
      </c>
      <c r="AB38" s="9" t="s">
        <v>145</v>
      </c>
      <c r="AC38" s="9">
        <v>60.0</v>
      </c>
      <c r="AD38" s="2"/>
      <c r="AE38" s="2"/>
      <c r="AF38" s="2"/>
      <c r="AG38" s="13" t="s">
        <v>148</v>
      </c>
      <c r="AH38" s="2"/>
      <c r="AI38" s="2"/>
    </row>
    <row r="39" ht="14.25" customHeight="1">
      <c r="A39" s="8" t="str">
        <f t="shared" si="1"/>
        <v/>
      </c>
      <c r="B39" s="9"/>
      <c r="C39" s="9"/>
      <c r="D39" s="9"/>
      <c r="E39" s="11"/>
      <c r="F39" s="11"/>
      <c r="G39" s="9"/>
      <c r="H39" s="12"/>
      <c r="I39" s="26">
        <f t="shared" si="2"/>
        <v>0</v>
      </c>
      <c r="J39" s="27">
        <f t="shared" si="3"/>
        <v>0</v>
      </c>
      <c r="K39" s="28"/>
      <c r="L39" s="27">
        <f t="shared" si="4"/>
        <v>0</v>
      </c>
      <c r="M39" s="29">
        <f t="shared" si="5"/>
        <v>0</v>
      </c>
      <c r="N39" s="12"/>
      <c r="O39" s="12"/>
      <c r="P39" s="9"/>
      <c r="Q39" s="30"/>
      <c r="R39" s="27">
        <f t="shared" si="6"/>
        <v>0</v>
      </c>
      <c r="S39" s="27">
        <f t="shared" si="7"/>
        <v>0</v>
      </c>
      <c r="T39" s="10"/>
      <c r="U39" s="2"/>
      <c r="V39" s="2"/>
      <c r="W39" s="2"/>
      <c r="X39" s="2"/>
      <c r="Y39" s="9">
        <v>33.0</v>
      </c>
      <c r="Z39" s="9" t="s">
        <v>149</v>
      </c>
      <c r="AA39" s="9">
        <v>2000.0</v>
      </c>
      <c r="AB39" s="9" t="s">
        <v>145</v>
      </c>
      <c r="AC39" s="9">
        <v>45.0</v>
      </c>
      <c r="AD39" s="2"/>
      <c r="AE39" s="2"/>
      <c r="AF39" s="2"/>
      <c r="AG39" s="13" t="s">
        <v>150</v>
      </c>
      <c r="AH39" s="2"/>
      <c r="AI39" s="2"/>
    </row>
    <row r="40" ht="14.25" customHeight="1">
      <c r="A40" s="8" t="str">
        <f t="shared" si="1"/>
        <v/>
      </c>
      <c r="B40" s="9"/>
      <c r="C40" s="9"/>
      <c r="D40" s="9"/>
      <c r="E40" s="11"/>
      <c r="F40" s="11"/>
      <c r="G40" s="9"/>
      <c r="H40" s="12"/>
      <c r="I40" s="26">
        <f t="shared" si="2"/>
        <v>0</v>
      </c>
      <c r="J40" s="27">
        <f t="shared" si="3"/>
        <v>0</v>
      </c>
      <c r="K40" s="28"/>
      <c r="L40" s="27">
        <f t="shared" si="4"/>
        <v>0</v>
      </c>
      <c r="M40" s="29">
        <f t="shared" si="5"/>
        <v>0</v>
      </c>
      <c r="N40" s="12"/>
      <c r="O40" s="12"/>
      <c r="P40" s="9"/>
      <c r="Q40" s="30"/>
      <c r="R40" s="27">
        <f t="shared" si="6"/>
        <v>0</v>
      </c>
      <c r="S40" s="27">
        <f t="shared" si="7"/>
        <v>0</v>
      </c>
      <c r="T40" s="10"/>
      <c r="U40" s="2"/>
      <c r="V40" s="2"/>
      <c r="W40" s="2"/>
      <c r="X40" s="2"/>
      <c r="Y40" s="9">
        <v>34.0</v>
      </c>
      <c r="Z40" s="9" t="s">
        <v>151</v>
      </c>
      <c r="AA40" s="9">
        <v>6500.0</v>
      </c>
      <c r="AB40" s="9" t="s">
        <v>145</v>
      </c>
      <c r="AC40" s="9">
        <v>90.0</v>
      </c>
      <c r="AD40" s="2"/>
      <c r="AE40" s="2"/>
      <c r="AF40" s="2"/>
      <c r="AG40" s="13" t="s">
        <v>152</v>
      </c>
      <c r="AH40" s="2"/>
      <c r="AI40" s="2"/>
    </row>
    <row r="41" ht="14.25" customHeight="1">
      <c r="A41" s="8" t="str">
        <f t="shared" si="1"/>
        <v/>
      </c>
      <c r="B41" s="9"/>
      <c r="C41" s="9"/>
      <c r="D41" s="9"/>
      <c r="E41" s="11"/>
      <c r="F41" s="11"/>
      <c r="G41" s="9"/>
      <c r="H41" s="12"/>
      <c r="I41" s="26">
        <f t="shared" si="2"/>
        <v>0</v>
      </c>
      <c r="J41" s="27">
        <f t="shared" si="3"/>
        <v>0</v>
      </c>
      <c r="K41" s="28"/>
      <c r="L41" s="27">
        <f t="shared" si="4"/>
        <v>0</v>
      </c>
      <c r="M41" s="29">
        <f t="shared" si="5"/>
        <v>0</v>
      </c>
      <c r="N41" s="8"/>
      <c r="O41" s="12"/>
      <c r="P41" s="9"/>
      <c r="Q41" s="30"/>
      <c r="R41" s="27">
        <f t="shared" si="6"/>
        <v>0</v>
      </c>
      <c r="S41" s="27">
        <f t="shared" si="7"/>
        <v>0</v>
      </c>
      <c r="T41" s="10"/>
      <c r="U41" s="2"/>
      <c r="V41" s="2"/>
      <c r="W41" s="2"/>
      <c r="X41" s="2"/>
      <c r="Y41" s="9">
        <v>35.0</v>
      </c>
      <c r="Z41" s="9" t="s">
        <v>153</v>
      </c>
      <c r="AA41" s="9">
        <v>8000.0</v>
      </c>
      <c r="AB41" s="9" t="s">
        <v>145</v>
      </c>
      <c r="AC41" s="9">
        <v>90.0</v>
      </c>
      <c r="AD41" s="2"/>
      <c r="AE41" s="2"/>
      <c r="AF41" s="2"/>
      <c r="AG41" s="2"/>
      <c r="AH41" s="2"/>
      <c r="AI41" s="2"/>
    </row>
    <row r="42" ht="14.25" customHeight="1">
      <c r="A42" s="8" t="str">
        <f t="shared" si="1"/>
        <v/>
      </c>
      <c r="B42" s="9"/>
      <c r="C42" s="9"/>
      <c r="D42" s="9"/>
      <c r="E42" s="11"/>
      <c r="F42" s="11"/>
      <c r="G42" s="9"/>
      <c r="H42" s="12"/>
      <c r="I42" s="26">
        <f t="shared" si="2"/>
        <v>0</v>
      </c>
      <c r="J42" s="27">
        <f t="shared" si="3"/>
        <v>0</v>
      </c>
      <c r="K42" s="28"/>
      <c r="L42" s="27">
        <f t="shared" si="4"/>
        <v>0</v>
      </c>
      <c r="M42" s="29">
        <f t="shared" si="5"/>
        <v>0</v>
      </c>
      <c r="N42" s="8"/>
      <c r="O42" s="12"/>
      <c r="P42" s="9"/>
      <c r="Q42" s="30"/>
      <c r="R42" s="27">
        <f t="shared" si="6"/>
        <v>0</v>
      </c>
      <c r="S42" s="27">
        <f t="shared" si="7"/>
        <v>0</v>
      </c>
      <c r="T42" s="10"/>
      <c r="U42" s="2"/>
      <c r="V42" s="2"/>
      <c r="W42" s="2"/>
      <c r="X42" s="2"/>
      <c r="Y42" s="9">
        <v>36.0</v>
      </c>
      <c r="Z42" s="9" t="s">
        <v>154</v>
      </c>
      <c r="AA42" s="9">
        <v>7000.0</v>
      </c>
      <c r="AB42" s="9" t="s">
        <v>145</v>
      </c>
      <c r="AC42" s="9">
        <v>90.0</v>
      </c>
      <c r="AD42" s="2"/>
      <c r="AE42" s="2"/>
      <c r="AF42" s="2"/>
      <c r="AG42" s="2"/>
      <c r="AH42" s="2"/>
      <c r="AI42" s="2"/>
    </row>
    <row r="43" ht="14.25" customHeight="1">
      <c r="A43" s="8" t="str">
        <f t="shared" si="1"/>
        <v/>
      </c>
      <c r="B43" s="9"/>
      <c r="C43" s="9"/>
      <c r="D43" s="9"/>
      <c r="E43" s="11"/>
      <c r="F43" s="11"/>
      <c r="G43" s="9"/>
      <c r="H43" s="12"/>
      <c r="I43" s="26">
        <f t="shared" si="2"/>
        <v>0</v>
      </c>
      <c r="J43" s="27">
        <f t="shared" si="3"/>
        <v>0</v>
      </c>
      <c r="K43" s="36"/>
      <c r="L43" s="27">
        <f t="shared" si="4"/>
        <v>0</v>
      </c>
      <c r="M43" s="29">
        <f t="shared" si="5"/>
        <v>0</v>
      </c>
      <c r="N43" s="8"/>
      <c r="O43" s="12"/>
      <c r="P43" s="9"/>
      <c r="Q43" s="30"/>
      <c r="R43" s="27">
        <f t="shared" si="6"/>
        <v>0</v>
      </c>
      <c r="S43" s="27">
        <f t="shared" si="7"/>
        <v>0</v>
      </c>
      <c r="T43" s="10"/>
      <c r="U43" s="2"/>
      <c r="V43" s="2"/>
      <c r="W43" s="2"/>
      <c r="X43" s="2"/>
      <c r="Y43" s="9">
        <v>37.0</v>
      </c>
      <c r="Z43" s="9" t="s">
        <v>155</v>
      </c>
      <c r="AA43" s="9">
        <v>6500.0</v>
      </c>
      <c r="AB43" s="9" t="s">
        <v>145</v>
      </c>
      <c r="AC43" s="9">
        <v>90.0</v>
      </c>
      <c r="AD43" s="2"/>
      <c r="AE43" s="2"/>
      <c r="AF43" s="2"/>
      <c r="AG43" s="2"/>
      <c r="AH43" s="2"/>
      <c r="AI43" s="2"/>
    </row>
    <row r="44" ht="14.25" customHeight="1">
      <c r="A44" s="8" t="str">
        <f t="shared" si="1"/>
        <v/>
      </c>
      <c r="B44" s="9"/>
      <c r="C44" s="9"/>
      <c r="D44" s="9"/>
      <c r="E44" s="11"/>
      <c r="F44" s="11"/>
      <c r="G44" s="9"/>
      <c r="H44" s="12"/>
      <c r="I44" s="26">
        <f t="shared" si="2"/>
        <v>0</v>
      </c>
      <c r="J44" s="27">
        <f t="shared" si="3"/>
        <v>0</v>
      </c>
      <c r="K44" s="36"/>
      <c r="L44" s="27">
        <f t="shared" si="4"/>
        <v>0</v>
      </c>
      <c r="M44" s="29">
        <f t="shared" si="5"/>
        <v>0</v>
      </c>
      <c r="N44" s="8"/>
      <c r="O44" s="12"/>
      <c r="P44" s="9"/>
      <c r="Q44" s="30"/>
      <c r="R44" s="27">
        <f t="shared" si="6"/>
        <v>0</v>
      </c>
      <c r="S44" s="27">
        <f t="shared" si="7"/>
        <v>0</v>
      </c>
      <c r="T44" s="10"/>
      <c r="U44" s="2"/>
      <c r="V44" s="2"/>
      <c r="W44" s="2"/>
      <c r="X44" s="2"/>
      <c r="Y44" s="9">
        <v>38.0</v>
      </c>
      <c r="Z44" s="9" t="s">
        <v>156</v>
      </c>
      <c r="AA44" s="9">
        <v>6500.0</v>
      </c>
      <c r="AB44" s="9" t="s">
        <v>145</v>
      </c>
      <c r="AC44" s="9">
        <v>90.0</v>
      </c>
      <c r="AD44" s="2"/>
      <c r="AE44" s="2"/>
      <c r="AF44" s="2"/>
      <c r="AG44" s="2"/>
      <c r="AH44" s="2"/>
      <c r="AI44" s="2"/>
    </row>
    <row r="45" ht="14.25" customHeight="1">
      <c r="A45" s="8" t="str">
        <f t="shared" si="1"/>
        <v/>
      </c>
      <c r="B45" s="10"/>
      <c r="C45" s="9"/>
      <c r="D45" s="9"/>
      <c r="E45" s="11"/>
      <c r="F45" s="11"/>
      <c r="G45" s="9"/>
      <c r="H45" s="12"/>
      <c r="I45" s="26">
        <f t="shared" si="2"/>
        <v>0</v>
      </c>
      <c r="J45" s="27">
        <f t="shared" si="3"/>
        <v>0</v>
      </c>
      <c r="K45" s="36"/>
      <c r="L45" s="27">
        <f t="shared" si="4"/>
        <v>0</v>
      </c>
      <c r="M45" s="29">
        <f t="shared" si="5"/>
        <v>0</v>
      </c>
      <c r="N45" s="8"/>
      <c r="O45" s="12"/>
      <c r="P45" s="9"/>
      <c r="Q45" s="30"/>
      <c r="R45" s="27">
        <f t="shared" si="6"/>
        <v>0</v>
      </c>
      <c r="S45" s="27">
        <f t="shared" si="7"/>
        <v>0</v>
      </c>
      <c r="T45" s="10"/>
      <c r="U45" s="2"/>
      <c r="V45" s="2"/>
      <c r="W45" s="2"/>
      <c r="X45" s="2"/>
      <c r="Y45" s="9">
        <v>39.0</v>
      </c>
      <c r="Z45" s="9" t="s">
        <v>157</v>
      </c>
      <c r="AA45" s="9">
        <v>3500.0</v>
      </c>
      <c r="AB45" s="9" t="s">
        <v>145</v>
      </c>
      <c r="AC45" s="9">
        <v>60.0</v>
      </c>
      <c r="AD45" s="2"/>
      <c r="AE45" s="2"/>
      <c r="AF45" s="2"/>
      <c r="AG45" s="2"/>
      <c r="AH45" s="2"/>
      <c r="AI45" s="2"/>
    </row>
    <row r="46" ht="14.25" customHeight="1">
      <c r="A46" s="8" t="str">
        <f t="shared" si="1"/>
        <v/>
      </c>
      <c r="B46" s="10"/>
      <c r="C46" s="9"/>
      <c r="D46" s="10"/>
      <c r="E46" s="37"/>
      <c r="F46" s="37"/>
      <c r="G46" s="9"/>
      <c r="H46" s="12"/>
      <c r="I46" s="26">
        <f t="shared" si="2"/>
        <v>0</v>
      </c>
      <c r="J46" s="27">
        <f t="shared" si="3"/>
        <v>0</v>
      </c>
      <c r="K46" s="36"/>
      <c r="L46" s="27">
        <f t="shared" si="4"/>
        <v>0</v>
      </c>
      <c r="M46" s="29">
        <f t="shared" si="5"/>
        <v>0</v>
      </c>
      <c r="N46" s="8"/>
      <c r="O46" s="12"/>
      <c r="P46" s="9"/>
      <c r="Q46" s="30"/>
      <c r="R46" s="27">
        <f t="shared" si="6"/>
        <v>0</v>
      </c>
      <c r="S46" s="27">
        <f t="shared" si="7"/>
        <v>0</v>
      </c>
      <c r="T46" s="10"/>
      <c r="U46" s="2"/>
      <c r="V46" s="2"/>
      <c r="W46" s="2"/>
      <c r="X46" s="2"/>
      <c r="Y46" s="9">
        <v>40.0</v>
      </c>
      <c r="Z46" s="9" t="s">
        <v>158</v>
      </c>
      <c r="AA46" s="9">
        <v>1500.0</v>
      </c>
      <c r="AB46" s="9" t="s">
        <v>145</v>
      </c>
      <c r="AC46" s="9">
        <v>30.0</v>
      </c>
      <c r="AD46" s="2"/>
      <c r="AE46" s="2"/>
      <c r="AF46" s="2"/>
      <c r="AG46" s="2"/>
      <c r="AH46" s="2"/>
      <c r="AI46" s="2"/>
    </row>
    <row r="47" ht="14.25" customHeight="1">
      <c r="A47" s="8" t="str">
        <f t="shared" si="1"/>
        <v/>
      </c>
      <c r="B47" s="10"/>
      <c r="C47" s="9"/>
      <c r="D47" s="10"/>
      <c r="E47" s="37"/>
      <c r="F47" s="37"/>
      <c r="G47" s="9"/>
      <c r="H47" s="12"/>
      <c r="I47" s="26">
        <f t="shared" si="2"/>
        <v>0</v>
      </c>
      <c r="J47" s="27">
        <f t="shared" si="3"/>
        <v>0</v>
      </c>
      <c r="K47" s="36"/>
      <c r="L47" s="27">
        <f t="shared" si="4"/>
        <v>0</v>
      </c>
      <c r="M47" s="29">
        <f t="shared" si="5"/>
        <v>0</v>
      </c>
      <c r="N47" s="8"/>
      <c r="O47" s="12"/>
      <c r="P47" s="9"/>
      <c r="Q47" s="30"/>
      <c r="R47" s="27">
        <f t="shared" si="6"/>
        <v>0</v>
      </c>
      <c r="S47" s="27">
        <f t="shared" si="7"/>
        <v>0</v>
      </c>
      <c r="T47" s="10"/>
      <c r="U47" s="2"/>
      <c r="V47" s="2"/>
      <c r="W47" s="2"/>
      <c r="X47" s="2"/>
      <c r="Y47" s="9">
        <v>41.0</v>
      </c>
      <c r="Z47" s="9" t="s">
        <v>159</v>
      </c>
      <c r="AA47" s="9">
        <v>2500.0</v>
      </c>
      <c r="AB47" s="9" t="s">
        <v>145</v>
      </c>
      <c r="AC47" s="9">
        <v>60.0</v>
      </c>
      <c r="AD47" s="2"/>
      <c r="AE47" s="2"/>
      <c r="AF47" s="2"/>
      <c r="AG47" s="2"/>
      <c r="AH47" s="2"/>
      <c r="AI47" s="2"/>
    </row>
    <row r="48" ht="14.25" customHeight="1">
      <c r="A48" s="8" t="str">
        <f t="shared" si="1"/>
        <v/>
      </c>
      <c r="B48" s="10"/>
      <c r="C48" s="9"/>
      <c r="D48" s="10"/>
      <c r="E48" s="37"/>
      <c r="F48" s="37"/>
      <c r="G48" s="9"/>
      <c r="H48" s="12"/>
      <c r="I48" s="26">
        <f t="shared" si="2"/>
        <v>0</v>
      </c>
      <c r="J48" s="27">
        <f t="shared" si="3"/>
        <v>0</v>
      </c>
      <c r="K48" s="36"/>
      <c r="L48" s="27">
        <f t="shared" si="4"/>
        <v>0</v>
      </c>
      <c r="M48" s="29">
        <f t="shared" si="5"/>
        <v>0</v>
      </c>
      <c r="N48" s="8"/>
      <c r="O48" s="12"/>
      <c r="P48" s="9"/>
      <c r="Q48" s="30"/>
      <c r="R48" s="27">
        <f t="shared" si="6"/>
        <v>0</v>
      </c>
      <c r="S48" s="27">
        <f t="shared" si="7"/>
        <v>0</v>
      </c>
      <c r="T48" s="10"/>
      <c r="U48" s="2"/>
      <c r="V48" s="2"/>
      <c r="W48" s="2"/>
      <c r="X48" s="2"/>
      <c r="Y48" s="9">
        <v>42.0</v>
      </c>
      <c r="Z48" s="9" t="s">
        <v>160</v>
      </c>
      <c r="AA48" s="9">
        <v>3500.0</v>
      </c>
      <c r="AB48" s="9" t="s">
        <v>145</v>
      </c>
      <c r="AC48" s="9">
        <v>60.0</v>
      </c>
      <c r="AD48" s="2"/>
      <c r="AE48" s="2"/>
      <c r="AF48" s="2"/>
      <c r="AG48" s="2"/>
      <c r="AH48" s="2"/>
      <c r="AI48" s="2"/>
    </row>
    <row r="49" ht="14.25" customHeight="1">
      <c r="A49" s="8" t="str">
        <f t="shared" si="1"/>
        <v/>
      </c>
      <c r="B49" s="10"/>
      <c r="C49" s="9"/>
      <c r="D49" s="10"/>
      <c r="E49" s="37"/>
      <c r="F49" s="37"/>
      <c r="G49" s="9"/>
      <c r="H49" s="12"/>
      <c r="I49" s="26">
        <f t="shared" si="2"/>
        <v>0</v>
      </c>
      <c r="J49" s="27">
        <f t="shared" si="3"/>
        <v>0</v>
      </c>
      <c r="K49" s="36"/>
      <c r="L49" s="27">
        <f t="shared" si="4"/>
        <v>0</v>
      </c>
      <c r="M49" s="29">
        <f t="shared" si="5"/>
        <v>0</v>
      </c>
      <c r="N49" s="8"/>
      <c r="O49" s="12"/>
      <c r="P49" s="9"/>
      <c r="Q49" s="30"/>
      <c r="R49" s="27">
        <f t="shared" si="6"/>
        <v>0</v>
      </c>
      <c r="S49" s="27">
        <f t="shared" si="7"/>
        <v>0</v>
      </c>
      <c r="T49" s="10"/>
      <c r="U49" s="2"/>
      <c r="V49" s="2"/>
      <c r="W49" s="2"/>
      <c r="X49" s="2"/>
      <c r="Y49" s="9">
        <v>43.0</v>
      </c>
      <c r="Z49" s="9" t="s">
        <v>161</v>
      </c>
      <c r="AA49" s="9">
        <v>2500.0</v>
      </c>
      <c r="AB49" s="9" t="s">
        <v>145</v>
      </c>
      <c r="AC49" s="9">
        <v>60.0</v>
      </c>
      <c r="AD49" s="2"/>
      <c r="AE49" s="2"/>
      <c r="AF49" s="2"/>
      <c r="AG49" s="2"/>
      <c r="AH49" s="2"/>
      <c r="AI49" s="2"/>
    </row>
    <row r="50" ht="14.25" customHeight="1">
      <c r="A50" s="8" t="str">
        <f t="shared" si="1"/>
        <v/>
      </c>
      <c r="B50" s="10"/>
      <c r="C50" s="9"/>
      <c r="D50" s="10"/>
      <c r="E50" s="37"/>
      <c r="F50" s="37"/>
      <c r="G50" s="9"/>
      <c r="H50" s="12"/>
      <c r="I50" s="26">
        <f t="shared" si="2"/>
        <v>0</v>
      </c>
      <c r="J50" s="27">
        <f t="shared" si="3"/>
        <v>0</v>
      </c>
      <c r="K50" s="36"/>
      <c r="L50" s="27">
        <f t="shared" si="4"/>
        <v>0</v>
      </c>
      <c r="M50" s="29">
        <f t="shared" si="5"/>
        <v>0</v>
      </c>
      <c r="N50" s="8"/>
      <c r="O50" s="12"/>
      <c r="P50" s="9"/>
      <c r="Q50" s="30"/>
      <c r="R50" s="27">
        <f t="shared" si="6"/>
        <v>0</v>
      </c>
      <c r="S50" s="27">
        <f t="shared" si="7"/>
        <v>0</v>
      </c>
      <c r="T50" s="10"/>
      <c r="U50" s="2"/>
      <c r="V50" s="2"/>
      <c r="W50" s="2"/>
      <c r="X50" s="2"/>
      <c r="Y50" s="9">
        <v>44.0</v>
      </c>
      <c r="Z50" s="9" t="s">
        <v>162</v>
      </c>
      <c r="AA50" s="9">
        <v>2500.0</v>
      </c>
      <c r="AB50" s="9" t="s">
        <v>145</v>
      </c>
      <c r="AC50" s="9">
        <v>60.0</v>
      </c>
      <c r="AD50" s="2"/>
      <c r="AE50" s="2"/>
      <c r="AF50" s="2"/>
      <c r="AG50" s="2"/>
      <c r="AH50" s="2"/>
      <c r="AI50" s="2"/>
    </row>
    <row r="51" ht="14.25" customHeight="1">
      <c r="A51" s="8" t="str">
        <f t="shared" si="1"/>
        <v/>
      </c>
      <c r="B51" s="10"/>
      <c r="C51" s="9"/>
      <c r="D51" s="10"/>
      <c r="E51" s="37"/>
      <c r="F51" s="37"/>
      <c r="G51" s="9"/>
      <c r="H51" s="12"/>
      <c r="I51" s="26">
        <f t="shared" si="2"/>
        <v>0</v>
      </c>
      <c r="J51" s="27">
        <f t="shared" si="3"/>
        <v>0</v>
      </c>
      <c r="K51" s="36"/>
      <c r="L51" s="27">
        <f t="shared" si="4"/>
        <v>0</v>
      </c>
      <c r="M51" s="29">
        <f t="shared" si="5"/>
        <v>0</v>
      </c>
      <c r="N51" s="8"/>
      <c r="O51" s="12"/>
      <c r="P51" s="9"/>
      <c r="Q51" s="30"/>
      <c r="R51" s="27">
        <f t="shared" si="6"/>
        <v>0</v>
      </c>
      <c r="S51" s="27">
        <f t="shared" si="7"/>
        <v>0</v>
      </c>
      <c r="T51" s="10"/>
      <c r="U51" s="2"/>
      <c r="V51" s="2"/>
      <c r="W51" s="2"/>
      <c r="X51" s="2"/>
      <c r="Y51" s="9">
        <v>45.0</v>
      </c>
      <c r="Z51" s="9" t="s">
        <v>163</v>
      </c>
      <c r="AA51" s="9">
        <v>1200.0</v>
      </c>
      <c r="AB51" s="9" t="s">
        <v>145</v>
      </c>
      <c r="AC51" s="10"/>
      <c r="AD51" s="2"/>
      <c r="AE51" s="2"/>
      <c r="AF51" s="2"/>
      <c r="AG51" s="2"/>
      <c r="AH51" s="2"/>
      <c r="AI51" s="2"/>
    </row>
    <row r="52" ht="14.25" customHeight="1">
      <c r="A52" s="8" t="str">
        <f t="shared" si="1"/>
        <v/>
      </c>
      <c r="B52" s="10"/>
      <c r="C52" s="9"/>
      <c r="D52" s="10"/>
      <c r="E52" s="37"/>
      <c r="F52" s="37"/>
      <c r="G52" s="9"/>
      <c r="H52" s="12"/>
      <c r="I52" s="26">
        <f t="shared" si="2"/>
        <v>0</v>
      </c>
      <c r="J52" s="27">
        <f t="shared" si="3"/>
        <v>0</v>
      </c>
      <c r="K52" s="36"/>
      <c r="L52" s="27">
        <f t="shared" si="4"/>
        <v>0</v>
      </c>
      <c r="M52" s="29">
        <f t="shared" si="5"/>
        <v>0</v>
      </c>
      <c r="N52" s="8"/>
      <c r="O52" s="12"/>
      <c r="P52" s="9"/>
      <c r="Q52" s="30"/>
      <c r="R52" s="27">
        <f t="shared" si="6"/>
        <v>0</v>
      </c>
      <c r="S52" s="27">
        <f t="shared" si="7"/>
        <v>0</v>
      </c>
      <c r="T52" s="10"/>
      <c r="U52" s="2"/>
      <c r="V52" s="2"/>
      <c r="W52" s="2"/>
      <c r="X52" s="2"/>
      <c r="Y52" s="9">
        <v>46.0</v>
      </c>
      <c r="Z52" s="9" t="s">
        <v>164</v>
      </c>
      <c r="AA52" s="9">
        <v>800.0</v>
      </c>
      <c r="AB52" s="9" t="s">
        <v>145</v>
      </c>
      <c r="AC52" s="10"/>
      <c r="AD52" s="2"/>
      <c r="AE52" s="2"/>
      <c r="AF52" s="2"/>
      <c r="AG52" s="2"/>
      <c r="AH52" s="2"/>
      <c r="AI52" s="2"/>
    </row>
    <row r="53" ht="14.25" customHeight="1">
      <c r="A53" s="8" t="str">
        <f t="shared" si="1"/>
        <v/>
      </c>
      <c r="B53" s="10"/>
      <c r="C53" s="9"/>
      <c r="D53" s="10"/>
      <c r="E53" s="37"/>
      <c r="F53" s="37"/>
      <c r="G53" s="9"/>
      <c r="H53" s="12"/>
      <c r="I53" s="26">
        <f t="shared" si="2"/>
        <v>0</v>
      </c>
      <c r="J53" s="27">
        <f t="shared" si="3"/>
        <v>0</v>
      </c>
      <c r="K53" s="36"/>
      <c r="L53" s="27">
        <f t="shared" si="4"/>
        <v>0</v>
      </c>
      <c r="M53" s="29">
        <f t="shared" si="5"/>
        <v>0</v>
      </c>
      <c r="N53" s="8"/>
      <c r="O53" s="12"/>
      <c r="P53" s="9"/>
      <c r="Q53" s="30"/>
      <c r="R53" s="27">
        <f t="shared" si="6"/>
        <v>0</v>
      </c>
      <c r="S53" s="27">
        <f t="shared" si="7"/>
        <v>0</v>
      </c>
      <c r="T53" s="10"/>
      <c r="U53" s="2"/>
      <c r="V53" s="2"/>
      <c r="W53" s="2"/>
      <c r="X53" s="2"/>
      <c r="Y53" s="9">
        <v>47.0</v>
      </c>
      <c r="Z53" s="9" t="s">
        <v>165</v>
      </c>
      <c r="AA53" s="9">
        <v>600.0</v>
      </c>
      <c r="AB53" s="9" t="s">
        <v>145</v>
      </c>
      <c r="AC53" s="10"/>
      <c r="AD53" s="2"/>
      <c r="AE53" s="2"/>
      <c r="AF53" s="2"/>
      <c r="AG53" s="2"/>
      <c r="AH53" s="2"/>
      <c r="AI53" s="2"/>
    </row>
    <row r="54" ht="14.25" customHeight="1">
      <c r="A54" s="8" t="str">
        <f t="shared" si="1"/>
        <v/>
      </c>
      <c r="B54" s="10"/>
      <c r="C54" s="9"/>
      <c r="D54" s="10"/>
      <c r="E54" s="37"/>
      <c r="F54" s="37"/>
      <c r="G54" s="9"/>
      <c r="H54" s="12"/>
      <c r="I54" s="26">
        <f t="shared" si="2"/>
        <v>0</v>
      </c>
      <c r="J54" s="27">
        <f t="shared" si="3"/>
        <v>0</v>
      </c>
      <c r="K54" s="36"/>
      <c r="L54" s="27">
        <f t="shared" si="4"/>
        <v>0</v>
      </c>
      <c r="M54" s="29">
        <f t="shared" si="5"/>
        <v>0</v>
      </c>
      <c r="N54" s="8"/>
      <c r="O54" s="12"/>
      <c r="P54" s="9"/>
      <c r="Q54" s="30"/>
      <c r="R54" s="27">
        <f t="shared" si="6"/>
        <v>0</v>
      </c>
      <c r="S54" s="27">
        <f t="shared" si="7"/>
        <v>0</v>
      </c>
      <c r="T54" s="10"/>
      <c r="U54" s="2"/>
      <c r="V54" s="2"/>
      <c r="W54" s="2"/>
      <c r="X54" s="2"/>
      <c r="Y54" s="9">
        <v>48.0</v>
      </c>
      <c r="Z54" s="9" t="s">
        <v>166</v>
      </c>
      <c r="AA54" s="9">
        <v>1200.0</v>
      </c>
      <c r="AB54" s="9" t="s">
        <v>145</v>
      </c>
      <c r="AC54" s="10"/>
      <c r="AD54" s="2"/>
      <c r="AE54" s="2"/>
      <c r="AF54" s="2"/>
      <c r="AG54" s="2"/>
      <c r="AH54" s="2"/>
      <c r="AI54" s="2"/>
    </row>
    <row r="55" ht="14.25" customHeight="1">
      <c r="A55" s="8" t="str">
        <f t="shared" si="1"/>
        <v/>
      </c>
      <c r="B55" s="10"/>
      <c r="C55" s="9"/>
      <c r="D55" s="10"/>
      <c r="E55" s="37"/>
      <c r="F55" s="37"/>
      <c r="G55" s="9"/>
      <c r="H55" s="12"/>
      <c r="I55" s="26">
        <f t="shared" si="2"/>
        <v>0</v>
      </c>
      <c r="J55" s="27">
        <f t="shared" si="3"/>
        <v>0</v>
      </c>
      <c r="K55" s="36"/>
      <c r="L55" s="27">
        <f t="shared" si="4"/>
        <v>0</v>
      </c>
      <c r="M55" s="29">
        <f t="shared" si="5"/>
        <v>0</v>
      </c>
      <c r="N55" s="8"/>
      <c r="O55" s="12"/>
      <c r="P55" s="9"/>
      <c r="Q55" s="30"/>
      <c r="R55" s="27">
        <f t="shared" si="6"/>
        <v>0</v>
      </c>
      <c r="S55" s="27">
        <f t="shared" si="7"/>
        <v>0</v>
      </c>
      <c r="T55" s="10"/>
      <c r="U55" s="2"/>
      <c r="V55" s="2"/>
      <c r="W55" s="2"/>
      <c r="X55" s="2"/>
      <c r="Y55" s="9">
        <v>49.0</v>
      </c>
      <c r="Z55" s="9" t="s">
        <v>167</v>
      </c>
      <c r="AA55" s="9">
        <v>1200.0</v>
      </c>
      <c r="AB55" s="9" t="s">
        <v>145</v>
      </c>
      <c r="AC55" s="10"/>
      <c r="AD55" s="2"/>
      <c r="AE55" s="2"/>
      <c r="AF55" s="2"/>
      <c r="AG55" s="2"/>
      <c r="AH55" s="2"/>
      <c r="AI55" s="2"/>
    </row>
    <row r="56" ht="14.25" customHeight="1">
      <c r="A56" s="8" t="str">
        <f t="shared" si="1"/>
        <v/>
      </c>
      <c r="B56" s="10"/>
      <c r="C56" s="9"/>
      <c r="D56" s="10"/>
      <c r="E56" s="37"/>
      <c r="F56" s="37"/>
      <c r="G56" s="9"/>
      <c r="H56" s="12"/>
      <c r="I56" s="26">
        <f t="shared" si="2"/>
        <v>0</v>
      </c>
      <c r="J56" s="27">
        <f t="shared" si="3"/>
        <v>0</v>
      </c>
      <c r="K56" s="36"/>
      <c r="L56" s="27">
        <f t="shared" si="4"/>
        <v>0</v>
      </c>
      <c r="M56" s="29">
        <f t="shared" si="5"/>
        <v>0</v>
      </c>
      <c r="N56" s="8"/>
      <c r="O56" s="12"/>
      <c r="P56" s="9"/>
      <c r="Q56" s="30"/>
      <c r="R56" s="27">
        <f t="shared" si="6"/>
        <v>0</v>
      </c>
      <c r="S56" s="27">
        <f t="shared" si="7"/>
        <v>0</v>
      </c>
      <c r="T56" s="10"/>
      <c r="U56" s="2"/>
      <c r="V56" s="2"/>
      <c r="W56" s="2"/>
      <c r="X56" s="2"/>
      <c r="Y56" s="9">
        <v>50.0</v>
      </c>
      <c r="Z56" s="9" t="s">
        <v>168</v>
      </c>
      <c r="AA56" s="9">
        <v>1800.0</v>
      </c>
      <c r="AB56" s="9" t="s">
        <v>145</v>
      </c>
      <c r="AC56" s="10"/>
      <c r="AD56" s="2"/>
      <c r="AE56" s="2"/>
      <c r="AF56" s="2"/>
      <c r="AG56" s="2"/>
      <c r="AH56" s="2"/>
      <c r="AI56" s="2"/>
    </row>
    <row r="57" ht="14.25" customHeight="1">
      <c r="A57" s="8" t="str">
        <f t="shared" si="1"/>
        <v/>
      </c>
      <c r="B57" s="10"/>
      <c r="C57" s="9"/>
      <c r="D57" s="10"/>
      <c r="E57" s="37"/>
      <c r="F57" s="37"/>
      <c r="G57" s="9"/>
      <c r="H57" s="12"/>
      <c r="I57" s="26">
        <f t="shared" si="2"/>
        <v>0</v>
      </c>
      <c r="J57" s="27">
        <f t="shared" si="3"/>
        <v>0</v>
      </c>
      <c r="K57" s="36"/>
      <c r="L57" s="27">
        <f t="shared" si="4"/>
        <v>0</v>
      </c>
      <c r="M57" s="29">
        <f t="shared" si="5"/>
        <v>0</v>
      </c>
      <c r="N57" s="8"/>
      <c r="O57" s="12"/>
      <c r="P57" s="9"/>
      <c r="Q57" s="30"/>
      <c r="R57" s="27">
        <f t="shared" si="6"/>
        <v>0</v>
      </c>
      <c r="S57" s="27">
        <f t="shared" si="7"/>
        <v>0</v>
      </c>
      <c r="T57" s="10"/>
      <c r="U57" s="2"/>
      <c r="V57" s="2"/>
      <c r="W57" s="2"/>
      <c r="X57" s="2"/>
      <c r="Y57" s="9">
        <v>51.0</v>
      </c>
      <c r="Z57" s="9" t="s">
        <v>169</v>
      </c>
      <c r="AA57" s="9">
        <v>1000.0</v>
      </c>
      <c r="AB57" s="9" t="s">
        <v>145</v>
      </c>
      <c r="AC57" s="10"/>
      <c r="AD57" s="2"/>
      <c r="AE57" s="2"/>
      <c r="AF57" s="2"/>
      <c r="AG57" s="2"/>
      <c r="AH57" s="2"/>
      <c r="AI57" s="2"/>
    </row>
    <row r="58" ht="14.25" customHeight="1">
      <c r="A58" s="8" t="str">
        <f t="shared" si="1"/>
        <v/>
      </c>
      <c r="B58" s="10"/>
      <c r="C58" s="9"/>
      <c r="D58" s="10"/>
      <c r="E58" s="37"/>
      <c r="F58" s="37"/>
      <c r="G58" s="9"/>
      <c r="H58" s="12"/>
      <c r="I58" s="26">
        <f t="shared" si="2"/>
        <v>0</v>
      </c>
      <c r="J58" s="27">
        <f t="shared" si="3"/>
        <v>0</v>
      </c>
      <c r="K58" s="36"/>
      <c r="L58" s="27">
        <f t="shared" si="4"/>
        <v>0</v>
      </c>
      <c r="M58" s="29">
        <f t="shared" si="5"/>
        <v>0</v>
      </c>
      <c r="N58" s="8"/>
      <c r="O58" s="12"/>
      <c r="P58" s="9"/>
      <c r="Q58" s="30"/>
      <c r="R58" s="27">
        <f t="shared" si="6"/>
        <v>0</v>
      </c>
      <c r="S58" s="27">
        <f t="shared" si="7"/>
        <v>0</v>
      </c>
      <c r="T58" s="10"/>
      <c r="U58" s="2"/>
      <c r="V58" s="2"/>
      <c r="W58" s="2"/>
      <c r="X58" s="2"/>
      <c r="Y58" s="9">
        <v>52.0</v>
      </c>
      <c r="Z58" s="9" t="s">
        <v>170</v>
      </c>
      <c r="AA58" s="9">
        <v>1200.0</v>
      </c>
      <c r="AB58" s="9" t="s">
        <v>145</v>
      </c>
      <c r="AC58" s="10"/>
      <c r="AD58" s="2"/>
      <c r="AE58" s="2"/>
      <c r="AF58" s="2"/>
      <c r="AG58" s="2"/>
      <c r="AH58" s="2"/>
      <c r="AI58" s="2"/>
    </row>
    <row r="59" ht="14.25" customHeight="1">
      <c r="A59" s="8" t="str">
        <f t="shared" si="1"/>
        <v/>
      </c>
      <c r="B59" s="10"/>
      <c r="C59" s="9"/>
      <c r="D59" s="10"/>
      <c r="E59" s="37"/>
      <c r="F59" s="37"/>
      <c r="G59" s="9"/>
      <c r="H59" s="12"/>
      <c r="I59" s="26">
        <f t="shared" si="2"/>
        <v>0</v>
      </c>
      <c r="J59" s="27">
        <f t="shared" si="3"/>
        <v>0</v>
      </c>
      <c r="K59" s="36"/>
      <c r="L59" s="27">
        <f t="shared" si="4"/>
        <v>0</v>
      </c>
      <c r="M59" s="29">
        <f t="shared" si="5"/>
        <v>0</v>
      </c>
      <c r="N59" s="8"/>
      <c r="O59" s="12"/>
      <c r="P59" s="9"/>
      <c r="Q59" s="30"/>
      <c r="R59" s="27">
        <f t="shared" si="6"/>
        <v>0</v>
      </c>
      <c r="S59" s="27">
        <f t="shared" si="7"/>
        <v>0</v>
      </c>
      <c r="T59" s="10"/>
      <c r="U59" s="2"/>
      <c r="V59" s="2"/>
      <c r="W59" s="2"/>
      <c r="X59" s="2"/>
      <c r="Y59" s="9">
        <v>53.0</v>
      </c>
      <c r="Z59" s="9" t="s">
        <v>171</v>
      </c>
      <c r="AA59" s="9">
        <v>1000.0</v>
      </c>
      <c r="AB59" s="9" t="s">
        <v>145</v>
      </c>
      <c r="AC59" s="10"/>
      <c r="AD59" s="2"/>
      <c r="AE59" s="2"/>
      <c r="AF59" s="2"/>
      <c r="AG59" s="2"/>
      <c r="AH59" s="2"/>
      <c r="AI59" s="2"/>
    </row>
    <row r="60" ht="14.25" customHeight="1">
      <c r="A60" s="8" t="str">
        <f t="shared" si="1"/>
        <v/>
      </c>
      <c r="B60" s="10"/>
      <c r="C60" s="9"/>
      <c r="D60" s="10"/>
      <c r="E60" s="37"/>
      <c r="F60" s="37"/>
      <c r="G60" s="9"/>
      <c r="H60" s="12"/>
      <c r="I60" s="26">
        <f t="shared" si="2"/>
        <v>0</v>
      </c>
      <c r="J60" s="27">
        <f t="shared" si="3"/>
        <v>0</v>
      </c>
      <c r="K60" s="36"/>
      <c r="L60" s="27">
        <f t="shared" si="4"/>
        <v>0</v>
      </c>
      <c r="M60" s="29">
        <f t="shared" si="5"/>
        <v>0</v>
      </c>
      <c r="N60" s="8"/>
      <c r="O60" s="12"/>
      <c r="P60" s="9"/>
      <c r="Q60" s="30"/>
      <c r="R60" s="27">
        <f t="shared" si="6"/>
        <v>0</v>
      </c>
      <c r="S60" s="27">
        <f t="shared" si="7"/>
        <v>0</v>
      </c>
      <c r="T60" s="10"/>
      <c r="U60" s="2"/>
      <c r="V60" s="2"/>
      <c r="W60" s="2"/>
      <c r="X60" s="2"/>
      <c r="Y60" s="9">
        <v>54.0</v>
      </c>
      <c r="Z60" s="9" t="s">
        <v>172</v>
      </c>
      <c r="AA60" s="9">
        <v>3000.0</v>
      </c>
      <c r="AB60" s="9" t="s">
        <v>145</v>
      </c>
      <c r="AC60" s="10"/>
      <c r="AD60" s="2"/>
      <c r="AE60" s="2"/>
      <c r="AF60" s="2"/>
      <c r="AG60" s="2"/>
      <c r="AH60" s="2"/>
      <c r="AI60" s="2"/>
    </row>
    <row r="61" ht="14.25" customHeight="1">
      <c r="A61" s="8" t="str">
        <f t="shared" si="1"/>
        <v/>
      </c>
      <c r="B61" s="10"/>
      <c r="C61" s="9"/>
      <c r="D61" s="10"/>
      <c r="E61" s="37"/>
      <c r="F61" s="37"/>
      <c r="G61" s="9"/>
      <c r="H61" s="12"/>
      <c r="I61" s="26">
        <f t="shared" si="2"/>
        <v>0</v>
      </c>
      <c r="J61" s="27">
        <f t="shared" si="3"/>
        <v>0</v>
      </c>
      <c r="K61" s="36"/>
      <c r="L61" s="27">
        <f t="shared" si="4"/>
        <v>0</v>
      </c>
      <c r="M61" s="29">
        <f t="shared" si="5"/>
        <v>0</v>
      </c>
      <c r="N61" s="8"/>
      <c r="O61" s="12"/>
      <c r="P61" s="9"/>
      <c r="Q61" s="30"/>
      <c r="R61" s="27">
        <f t="shared" si="6"/>
        <v>0</v>
      </c>
      <c r="S61" s="27">
        <f t="shared" si="7"/>
        <v>0</v>
      </c>
      <c r="T61" s="10"/>
      <c r="U61" s="2"/>
      <c r="V61" s="2"/>
      <c r="W61" s="2"/>
      <c r="X61" s="2"/>
      <c r="Y61" s="9">
        <v>55.0</v>
      </c>
      <c r="Z61" s="9" t="s">
        <v>173</v>
      </c>
      <c r="AA61" s="38">
        <v>6999.0</v>
      </c>
      <c r="AB61" s="9" t="s">
        <v>145</v>
      </c>
      <c r="AD61" s="2"/>
      <c r="AE61" s="2"/>
      <c r="AF61" s="2"/>
      <c r="AG61" s="2"/>
      <c r="AH61" s="2"/>
      <c r="AI61" s="2"/>
    </row>
    <row r="62" ht="14.25" customHeight="1">
      <c r="A62" s="8" t="str">
        <f t="shared" si="1"/>
        <v/>
      </c>
      <c r="B62" s="10"/>
      <c r="C62" s="9"/>
      <c r="D62" s="10"/>
      <c r="E62" s="37"/>
      <c r="F62" s="37"/>
      <c r="G62" s="9"/>
      <c r="H62" s="12"/>
      <c r="I62" s="26">
        <f t="shared" si="2"/>
        <v>0</v>
      </c>
      <c r="J62" s="27">
        <f t="shared" si="3"/>
        <v>0</v>
      </c>
      <c r="K62" s="36"/>
      <c r="L62" s="27">
        <f t="shared" si="4"/>
        <v>0</v>
      </c>
      <c r="M62" s="29">
        <f t="shared" si="5"/>
        <v>0</v>
      </c>
      <c r="N62" s="8"/>
      <c r="O62" s="12"/>
      <c r="P62" s="9"/>
      <c r="Q62" s="30"/>
      <c r="R62" s="27">
        <f t="shared" si="6"/>
        <v>0</v>
      </c>
      <c r="S62" s="27">
        <f t="shared" si="7"/>
        <v>0</v>
      </c>
      <c r="T62" s="10"/>
      <c r="U62" s="2"/>
      <c r="V62" s="2"/>
      <c r="W62" s="2"/>
      <c r="X62" s="2"/>
      <c r="Y62" s="9">
        <v>56.0</v>
      </c>
      <c r="Z62" s="9" t="s">
        <v>174</v>
      </c>
      <c r="AA62" s="38">
        <v>1800.0</v>
      </c>
      <c r="AB62" s="9" t="s">
        <v>145</v>
      </c>
      <c r="AD62" s="2"/>
      <c r="AE62" s="2"/>
      <c r="AF62" s="2"/>
      <c r="AG62" s="2"/>
      <c r="AH62" s="2"/>
      <c r="AI62" s="2"/>
    </row>
    <row r="63" ht="14.25" customHeight="1">
      <c r="A63" s="8" t="str">
        <f t="shared" si="1"/>
        <v/>
      </c>
      <c r="B63" s="10"/>
      <c r="C63" s="9"/>
      <c r="D63" s="10"/>
      <c r="E63" s="37"/>
      <c r="F63" s="37"/>
      <c r="G63" s="9"/>
      <c r="H63" s="12"/>
      <c r="I63" s="26">
        <f t="shared" si="2"/>
        <v>0</v>
      </c>
      <c r="J63" s="27">
        <f t="shared" si="3"/>
        <v>0</v>
      </c>
      <c r="K63" s="36"/>
      <c r="L63" s="27">
        <f t="shared" si="4"/>
        <v>0</v>
      </c>
      <c r="M63" s="29">
        <f t="shared" si="5"/>
        <v>0</v>
      </c>
      <c r="N63" s="8"/>
      <c r="O63" s="12"/>
      <c r="P63" s="9"/>
      <c r="Q63" s="30"/>
      <c r="R63" s="27">
        <f t="shared" si="6"/>
        <v>0</v>
      </c>
      <c r="S63" s="27">
        <f t="shared" si="7"/>
        <v>0</v>
      </c>
      <c r="T63" s="10"/>
      <c r="U63" s="2"/>
      <c r="V63" s="2"/>
      <c r="W63" s="2"/>
      <c r="X63" s="2"/>
      <c r="Y63" s="9">
        <v>57.0</v>
      </c>
      <c r="Z63" s="9" t="s">
        <v>175</v>
      </c>
      <c r="AA63" s="38">
        <v>1000.0</v>
      </c>
      <c r="AB63" s="9" t="s">
        <v>145</v>
      </c>
      <c r="AD63" s="2"/>
      <c r="AE63" s="2"/>
      <c r="AF63" s="2"/>
      <c r="AG63" s="2"/>
      <c r="AH63" s="2"/>
      <c r="AI63" s="2"/>
    </row>
    <row r="64" ht="14.25" customHeight="1">
      <c r="A64" s="8" t="str">
        <f t="shared" si="1"/>
        <v/>
      </c>
      <c r="B64" s="10"/>
      <c r="C64" s="9"/>
      <c r="D64" s="10"/>
      <c r="E64" s="37"/>
      <c r="F64" s="37"/>
      <c r="G64" s="9"/>
      <c r="H64" s="12"/>
      <c r="I64" s="26">
        <f t="shared" si="2"/>
        <v>0</v>
      </c>
      <c r="J64" s="27">
        <f t="shared" si="3"/>
        <v>0</v>
      </c>
      <c r="K64" s="36"/>
      <c r="L64" s="27">
        <f t="shared" si="4"/>
        <v>0</v>
      </c>
      <c r="M64" s="29">
        <f t="shared" si="5"/>
        <v>0</v>
      </c>
      <c r="N64" s="8"/>
      <c r="O64" s="12"/>
      <c r="P64" s="9"/>
      <c r="Q64" s="30"/>
      <c r="R64" s="27">
        <f t="shared" si="6"/>
        <v>0</v>
      </c>
      <c r="S64" s="27">
        <f t="shared" si="7"/>
        <v>0</v>
      </c>
      <c r="T64" s="10"/>
      <c r="U64" s="2"/>
      <c r="V64" s="2"/>
      <c r="W64" s="2"/>
      <c r="X64" s="2"/>
      <c r="Y64" s="9">
        <v>58.0</v>
      </c>
      <c r="Z64" s="9" t="s">
        <v>176</v>
      </c>
      <c r="AA64" s="38">
        <v>800.0</v>
      </c>
      <c r="AB64" s="9" t="s">
        <v>145</v>
      </c>
      <c r="AD64" s="2"/>
      <c r="AE64" s="2"/>
      <c r="AF64" s="2"/>
      <c r="AG64" s="2"/>
      <c r="AH64" s="2"/>
      <c r="AI64" s="2"/>
    </row>
    <row r="65" ht="14.25" customHeight="1">
      <c r="A65" s="8" t="str">
        <f t="shared" si="1"/>
        <v/>
      </c>
      <c r="B65" s="10"/>
      <c r="C65" s="9"/>
      <c r="D65" s="10"/>
      <c r="E65" s="37"/>
      <c r="F65" s="37"/>
      <c r="G65" s="9"/>
      <c r="H65" s="12"/>
      <c r="I65" s="26">
        <f t="shared" si="2"/>
        <v>0</v>
      </c>
      <c r="J65" s="27">
        <f t="shared" si="3"/>
        <v>0</v>
      </c>
      <c r="K65" s="36"/>
      <c r="L65" s="27">
        <f t="shared" si="4"/>
        <v>0</v>
      </c>
      <c r="M65" s="29">
        <f t="shared" si="5"/>
        <v>0</v>
      </c>
      <c r="N65" s="8"/>
      <c r="O65" s="12"/>
      <c r="P65" s="9"/>
      <c r="Q65" s="30"/>
      <c r="R65" s="27">
        <f t="shared" si="6"/>
        <v>0</v>
      </c>
      <c r="S65" s="27">
        <f t="shared" si="7"/>
        <v>0</v>
      </c>
      <c r="T65" s="10"/>
      <c r="U65" s="2"/>
      <c r="V65" s="2"/>
      <c r="W65" s="2"/>
      <c r="X65" s="2"/>
      <c r="Y65" s="9">
        <v>59.0</v>
      </c>
      <c r="Z65" s="9" t="s">
        <v>177</v>
      </c>
      <c r="AA65" s="38">
        <v>1800.0</v>
      </c>
      <c r="AB65" s="9" t="s">
        <v>145</v>
      </c>
      <c r="AD65" s="2"/>
      <c r="AE65" s="2"/>
      <c r="AF65" s="2"/>
      <c r="AG65" s="2"/>
      <c r="AH65" s="2"/>
      <c r="AI65" s="2"/>
    </row>
    <row r="66" ht="14.25" customHeight="1">
      <c r="A66" s="8" t="str">
        <f t="shared" si="1"/>
        <v/>
      </c>
      <c r="B66" s="10"/>
      <c r="C66" s="9"/>
      <c r="D66" s="10"/>
      <c r="E66" s="37"/>
      <c r="F66" s="37"/>
      <c r="G66" s="9"/>
      <c r="H66" s="12"/>
      <c r="I66" s="26">
        <f t="shared" si="2"/>
        <v>0</v>
      </c>
      <c r="J66" s="27">
        <f t="shared" si="3"/>
        <v>0</v>
      </c>
      <c r="K66" s="36"/>
      <c r="L66" s="27">
        <f t="shared" si="4"/>
        <v>0</v>
      </c>
      <c r="M66" s="29">
        <f t="shared" si="5"/>
        <v>0</v>
      </c>
      <c r="N66" s="8"/>
      <c r="O66" s="12"/>
      <c r="P66" s="9"/>
      <c r="Q66" s="30"/>
      <c r="R66" s="27">
        <f t="shared" si="6"/>
        <v>0</v>
      </c>
      <c r="S66" s="27">
        <f t="shared" si="7"/>
        <v>0</v>
      </c>
      <c r="T66" s="10"/>
      <c r="U66" s="2"/>
      <c r="V66" s="2"/>
      <c r="W66" s="2"/>
      <c r="X66" s="2"/>
      <c r="Y66" s="9">
        <v>60.0</v>
      </c>
      <c r="Z66" s="9" t="s">
        <v>178</v>
      </c>
      <c r="AA66" s="38">
        <v>1800.0</v>
      </c>
      <c r="AB66" s="9" t="s">
        <v>145</v>
      </c>
      <c r="AD66" s="2"/>
      <c r="AE66" s="2"/>
      <c r="AF66" s="2"/>
      <c r="AG66" s="2"/>
      <c r="AH66" s="2"/>
      <c r="AI66" s="2"/>
    </row>
    <row r="67" ht="14.25" customHeight="1">
      <c r="A67" s="8" t="str">
        <f t="shared" si="1"/>
        <v/>
      </c>
      <c r="B67" s="10"/>
      <c r="C67" s="9"/>
      <c r="D67" s="10"/>
      <c r="E67" s="37"/>
      <c r="F67" s="37"/>
      <c r="G67" s="9"/>
      <c r="H67" s="12"/>
      <c r="I67" s="26">
        <f t="shared" si="2"/>
        <v>0</v>
      </c>
      <c r="J67" s="27">
        <f t="shared" si="3"/>
        <v>0</v>
      </c>
      <c r="K67" s="36"/>
      <c r="L67" s="27">
        <f t="shared" si="4"/>
        <v>0</v>
      </c>
      <c r="M67" s="29">
        <f t="shared" si="5"/>
        <v>0</v>
      </c>
      <c r="N67" s="8"/>
      <c r="O67" s="12"/>
      <c r="P67" s="9"/>
      <c r="Q67" s="30"/>
      <c r="R67" s="27">
        <f t="shared" si="6"/>
        <v>0</v>
      </c>
      <c r="S67" s="27">
        <f t="shared" si="7"/>
        <v>0</v>
      </c>
      <c r="T67" s="10"/>
      <c r="U67" s="2"/>
      <c r="V67" s="2"/>
      <c r="W67" s="2"/>
      <c r="X67" s="2"/>
      <c r="Y67" s="9">
        <v>61.0</v>
      </c>
      <c r="Z67" s="9" t="s">
        <v>179</v>
      </c>
      <c r="AA67" s="38">
        <v>2500.0</v>
      </c>
      <c r="AB67" s="9" t="s">
        <v>145</v>
      </c>
      <c r="AD67" s="2"/>
      <c r="AE67" s="2"/>
      <c r="AF67" s="2"/>
      <c r="AG67" s="2"/>
      <c r="AH67" s="2"/>
      <c r="AI67" s="2"/>
    </row>
    <row r="68" ht="14.25" customHeight="1">
      <c r="A68" s="8" t="str">
        <f t="shared" si="1"/>
        <v/>
      </c>
      <c r="B68" s="10"/>
      <c r="C68" s="9"/>
      <c r="D68" s="10"/>
      <c r="E68" s="37"/>
      <c r="F68" s="37"/>
      <c r="G68" s="9"/>
      <c r="H68" s="12"/>
      <c r="I68" s="26">
        <f t="shared" si="2"/>
        <v>0</v>
      </c>
      <c r="J68" s="27">
        <f t="shared" si="3"/>
        <v>0</v>
      </c>
      <c r="K68" s="36"/>
      <c r="L68" s="27">
        <f t="shared" si="4"/>
        <v>0</v>
      </c>
      <c r="M68" s="29">
        <f t="shared" si="5"/>
        <v>0</v>
      </c>
      <c r="N68" s="8"/>
      <c r="O68" s="12"/>
      <c r="P68" s="9"/>
      <c r="Q68" s="30"/>
      <c r="R68" s="27">
        <f t="shared" si="6"/>
        <v>0</v>
      </c>
      <c r="S68" s="27">
        <f t="shared" si="7"/>
        <v>0</v>
      </c>
      <c r="T68" s="10"/>
      <c r="U68" s="2"/>
      <c r="V68" s="2"/>
      <c r="W68" s="2"/>
      <c r="X68" s="2"/>
      <c r="Y68" s="9">
        <v>62.0</v>
      </c>
      <c r="Z68" s="9" t="s">
        <v>180</v>
      </c>
      <c r="AA68" s="38">
        <v>1500.0</v>
      </c>
      <c r="AB68" s="9" t="s">
        <v>145</v>
      </c>
      <c r="AD68" s="2"/>
      <c r="AE68" s="2"/>
      <c r="AF68" s="2"/>
      <c r="AG68" s="2"/>
      <c r="AH68" s="2"/>
      <c r="AI68" s="2"/>
    </row>
    <row r="69" ht="14.25" customHeight="1">
      <c r="A69" s="8" t="str">
        <f t="shared" si="1"/>
        <v/>
      </c>
      <c r="B69" s="10"/>
      <c r="C69" s="9"/>
      <c r="D69" s="10"/>
      <c r="E69" s="37"/>
      <c r="F69" s="37"/>
      <c r="G69" s="9"/>
      <c r="H69" s="12"/>
      <c r="I69" s="26">
        <f t="shared" si="2"/>
        <v>0</v>
      </c>
      <c r="J69" s="27">
        <f t="shared" si="3"/>
        <v>0</v>
      </c>
      <c r="K69" s="36"/>
      <c r="L69" s="27">
        <f t="shared" si="4"/>
        <v>0</v>
      </c>
      <c r="M69" s="29">
        <f t="shared" si="5"/>
        <v>0</v>
      </c>
      <c r="N69" s="8"/>
      <c r="O69" s="12"/>
      <c r="P69" s="9"/>
      <c r="Q69" s="30"/>
      <c r="R69" s="27">
        <f t="shared" si="6"/>
        <v>0</v>
      </c>
      <c r="S69" s="27">
        <f t="shared" si="7"/>
        <v>0</v>
      </c>
      <c r="T69" s="10"/>
      <c r="U69" s="2"/>
      <c r="V69" s="2"/>
      <c r="W69" s="2"/>
      <c r="X69" s="2"/>
      <c r="Y69" s="9">
        <v>63.0</v>
      </c>
      <c r="Z69" s="9" t="s">
        <v>181</v>
      </c>
      <c r="AA69" s="38">
        <v>2000.0</v>
      </c>
      <c r="AB69" s="9" t="s">
        <v>145</v>
      </c>
      <c r="AD69" s="2"/>
      <c r="AE69" s="2"/>
      <c r="AF69" s="2"/>
      <c r="AG69" s="2"/>
      <c r="AH69" s="2"/>
      <c r="AI69" s="2"/>
    </row>
    <row r="70" ht="14.25" customHeight="1">
      <c r="A70" s="8" t="str">
        <f t="shared" si="1"/>
        <v/>
      </c>
      <c r="B70" s="10"/>
      <c r="C70" s="9"/>
      <c r="D70" s="10"/>
      <c r="E70" s="37"/>
      <c r="F70" s="37"/>
      <c r="G70" s="9"/>
      <c r="H70" s="12"/>
      <c r="I70" s="26">
        <f t="shared" si="2"/>
        <v>0</v>
      </c>
      <c r="J70" s="27">
        <f t="shared" si="3"/>
        <v>0</v>
      </c>
      <c r="K70" s="36"/>
      <c r="L70" s="27">
        <f t="shared" si="4"/>
        <v>0</v>
      </c>
      <c r="M70" s="29">
        <f t="shared" si="5"/>
        <v>0</v>
      </c>
      <c r="N70" s="8"/>
      <c r="O70" s="12"/>
      <c r="P70" s="9"/>
      <c r="Q70" s="30"/>
      <c r="R70" s="27">
        <f t="shared" si="6"/>
        <v>0</v>
      </c>
      <c r="S70" s="27">
        <f t="shared" si="7"/>
        <v>0</v>
      </c>
      <c r="T70" s="10"/>
      <c r="U70" s="2"/>
      <c r="V70" s="2"/>
      <c r="W70" s="2"/>
      <c r="X70" s="2"/>
      <c r="Y70" s="9">
        <v>64.0</v>
      </c>
      <c r="Z70" s="9" t="s">
        <v>182</v>
      </c>
      <c r="AA70" s="38">
        <v>1500.0</v>
      </c>
      <c r="AB70" s="9" t="s">
        <v>145</v>
      </c>
      <c r="AD70" s="2"/>
      <c r="AE70" s="2"/>
      <c r="AF70" s="2"/>
      <c r="AG70" s="2"/>
      <c r="AH70" s="2"/>
      <c r="AI70" s="2"/>
    </row>
    <row r="71" ht="14.25" customHeight="1">
      <c r="A71" s="8" t="str">
        <f t="shared" si="1"/>
        <v/>
      </c>
      <c r="B71" s="10"/>
      <c r="C71" s="9"/>
      <c r="D71" s="10"/>
      <c r="E71" s="37"/>
      <c r="F71" s="37"/>
      <c r="G71" s="9"/>
      <c r="H71" s="12"/>
      <c r="I71" s="26">
        <f t="shared" si="2"/>
        <v>0</v>
      </c>
      <c r="J71" s="27">
        <f t="shared" si="3"/>
        <v>0</v>
      </c>
      <c r="K71" s="36"/>
      <c r="L71" s="27">
        <f t="shared" si="4"/>
        <v>0</v>
      </c>
      <c r="M71" s="29">
        <f t="shared" si="5"/>
        <v>0</v>
      </c>
      <c r="N71" s="8"/>
      <c r="O71" s="12"/>
      <c r="P71" s="9"/>
      <c r="Q71" s="30"/>
      <c r="R71" s="27">
        <f t="shared" si="6"/>
        <v>0</v>
      </c>
      <c r="S71" s="27">
        <f t="shared" si="7"/>
        <v>0</v>
      </c>
      <c r="T71" s="10"/>
      <c r="U71" s="2"/>
      <c r="V71" s="2"/>
      <c r="W71" s="2"/>
      <c r="X71" s="2"/>
      <c r="Y71" s="9">
        <v>65.0</v>
      </c>
      <c r="Z71" s="9" t="s">
        <v>183</v>
      </c>
      <c r="AA71" s="38">
        <v>4000.0</v>
      </c>
      <c r="AB71" s="9" t="s">
        <v>145</v>
      </c>
      <c r="AD71" s="2"/>
      <c r="AE71" s="2"/>
      <c r="AF71" s="2"/>
      <c r="AG71" s="2"/>
      <c r="AH71" s="2"/>
      <c r="AI71" s="2"/>
    </row>
    <row r="72" ht="14.25" customHeight="1">
      <c r="A72" s="8" t="str">
        <f t="shared" si="1"/>
        <v/>
      </c>
      <c r="B72" s="10"/>
      <c r="C72" s="9"/>
      <c r="D72" s="10"/>
      <c r="E72" s="37"/>
      <c r="F72" s="37"/>
      <c r="G72" s="9"/>
      <c r="H72" s="12"/>
      <c r="I72" s="26">
        <f t="shared" si="2"/>
        <v>0</v>
      </c>
      <c r="J72" s="27">
        <f t="shared" si="3"/>
        <v>0</v>
      </c>
      <c r="K72" s="36"/>
      <c r="L72" s="27">
        <f t="shared" si="4"/>
        <v>0</v>
      </c>
      <c r="M72" s="29">
        <f t="shared" si="5"/>
        <v>0</v>
      </c>
      <c r="N72" s="8"/>
      <c r="O72" s="12"/>
      <c r="P72" s="9"/>
      <c r="Q72" s="30"/>
      <c r="R72" s="27">
        <f t="shared" si="6"/>
        <v>0</v>
      </c>
      <c r="S72" s="27">
        <f t="shared" si="7"/>
        <v>0</v>
      </c>
      <c r="T72" s="10"/>
      <c r="U72" s="2"/>
      <c r="V72" s="2"/>
      <c r="W72" s="2"/>
      <c r="X72" s="2"/>
      <c r="Y72" s="9">
        <v>66.0</v>
      </c>
      <c r="Z72" s="9" t="s">
        <v>184</v>
      </c>
      <c r="AA72" s="38">
        <v>9999.0</v>
      </c>
      <c r="AB72" s="9" t="s">
        <v>145</v>
      </c>
      <c r="AD72" s="2"/>
      <c r="AE72" s="2"/>
      <c r="AF72" s="2"/>
      <c r="AG72" s="2"/>
      <c r="AH72" s="2"/>
      <c r="AI72" s="2"/>
    </row>
    <row r="73" ht="14.25" customHeight="1">
      <c r="A73" s="8" t="str">
        <f t="shared" si="1"/>
        <v/>
      </c>
      <c r="B73" s="10"/>
      <c r="C73" s="9"/>
      <c r="D73" s="10"/>
      <c r="E73" s="37"/>
      <c r="F73" s="37"/>
      <c r="G73" s="9"/>
      <c r="H73" s="12"/>
      <c r="I73" s="26">
        <f t="shared" si="2"/>
        <v>0</v>
      </c>
      <c r="J73" s="27">
        <f t="shared" si="3"/>
        <v>0</v>
      </c>
      <c r="K73" s="36"/>
      <c r="L73" s="27">
        <f t="shared" si="4"/>
        <v>0</v>
      </c>
      <c r="M73" s="29">
        <f t="shared" si="5"/>
        <v>0</v>
      </c>
      <c r="N73" s="8"/>
      <c r="O73" s="12"/>
      <c r="P73" s="9"/>
      <c r="Q73" s="30"/>
      <c r="R73" s="27">
        <f t="shared" si="6"/>
        <v>0</v>
      </c>
      <c r="S73" s="27">
        <f t="shared" si="7"/>
        <v>0</v>
      </c>
      <c r="T73" s="10"/>
      <c r="U73" s="2"/>
      <c r="V73" s="2"/>
      <c r="W73" s="2"/>
      <c r="X73" s="2"/>
      <c r="Y73" s="9">
        <v>67.0</v>
      </c>
      <c r="Z73" s="9" t="s">
        <v>185</v>
      </c>
      <c r="AA73" s="38">
        <v>200.0</v>
      </c>
      <c r="AB73" s="38" t="s">
        <v>145</v>
      </c>
      <c r="AD73" s="2"/>
      <c r="AE73" s="2"/>
      <c r="AF73" s="2"/>
      <c r="AG73" s="2"/>
      <c r="AH73" s="2"/>
      <c r="AI73" s="2"/>
    </row>
    <row r="74" ht="14.25" customHeight="1">
      <c r="A74" s="8" t="str">
        <f t="shared" si="1"/>
        <v/>
      </c>
      <c r="B74" s="10"/>
      <c r="C74" s="9"/>
      <c r="D74" s="10"/>
      <c r="E74" s="37"/>
      <c r="F74" s="37"/>
      <c r="G74" s="9"/>
      <c r="H74" s="12"/>
      <c r="I74" s="26">
        <f t="shared" si="2"/>
        <v>0</v>
      </c>
      <c r="J74" s="27">
        <f t="shared" si="3"/>
        <v>0</v>
      </c>
      <c r="K74" s="36"/>
      <c r="L74" s="27">
        <f t="shared" si="4"/>
        <v>0</v>
      </c>
      <c r="M74" s="29">
        <f t="shared" si="5"/>
        <v>0</v>
      </c>
      <c r="N74" s="8"/>
      <c r="O74" s="12"/>
      <c r="P74" s="9"/>
      <c r="Q74" s="30"/>
      <c r="R74" s="27">
        <f t="shared" si="6"/>
        <v>0</v>
      </c>
      <c r="S74" s="27">
        <f t="shared" si="7"/>
        <v>0</v>
      </c>
      <c r="T74" s="10"/>
      <c r="U74" s="2"/>
      <c r="V74" s="2"/>
      <c r="W74" s="2"/>
      <c r="X74" s="2"/>
      <c r="Y74" s="9">
        <v>68.0</v>
      </c>
      <c r="Z74" s="9" t="s">
        <v>186</v>
      </c>
      <c r="AA74" s="9">
        <v>200.0</v>
      </c>
      <c r="AB74" s="9" t="s">
        <v>145</v>
      </c>
      <c r="AC74" s="10"/>
      <c r="AD74" s="2"/>
      <c r="AE74" s="2"/>
      <c r="AF74" s="2"/>
      <c r="AG74" s="2"/>
      <c r="AH74" s="2"/>
      <c r="AI74" s="2"/>
    </row>
    <row r="75" ht="14.25" customHeight="1">
      <c r="A75" s="8" t="str">
        <f t="shared" si="1"/>
        <v/>
      </c>
      <c r="B75" s="10"/>
      <c r="C75" s="9"/>
      <c r="D75" s="10"/>
      <c r="E75" s="37"/>
      <c r="F75" s="37"/>
      <c r="G75" s="9"/>
      <c r="H75" s="12"/>
      <c r="I75" s="26">
        <f t="shared" si="2"/>
        <v>0</v>
      </c>
      <c r="J75" s="27">
        <f t="shared" si="3"/>
        <v>0</v>
      </c>
      <c r="K75" s="36"/>
      <c r="L75" s="27">
        <f t="shared" si="4"/>
        <v>0</v>
      </c>
      <c r="M75" s="29">
        <f t="shared" si="5"/>
        <v>0</v>
      </c>
      <c r="N75" s="8"/>
      <c r="O75" s="12"/>
      <c r="P75" s="9"/>
      <c r="Q75" s="30"/>
      <c r="R75" s="27">
        <f t="shared" si="6"/>
        <v>0</v>
      </c>
      <c r="S75" s="27">
        <f t="shared" si="7"/>
        <v>0</v>
      </c>
      <c r="T75" s="10"/>
      <c r="U75" s="2"/>
      <c r="V75" s="2"/>
      <c r="W75" s="2"/>
      <c r="X75" s="2"/>
      <c r="Y75" s="9">
        <v>69.0</v>
      </c>
      <c r="Z75" s="9" t="s">
        <v>187</v>
      </c>
      <c r="AA75" s="9">
        <v>150.0</v>
      </c>
      <c r="AB75" s="9" t="s">
        <v>145</v>
      </c>
      <c r="AC75" s="10"/>
      <c r="AD75" s="2"/>
      <c r="AE75" s="2"/>
      <c r="AF75" s="2"/>
      <c r="AG75" s="2"/>
      <c r="AH75" s="2"/>
      <c r="AI75" s="2"/>
    </row>
    <row r="76" ht="14.25" customHeight="1">
      <c r="A76" s="8" t="str">
        <f t="shared" si="1"/>
        <v/>
      </c>
      <c r="B76" s="10"/>
      <c r="C76" s="9"/>
      <c r="D76" s="10"/>
      <c r="E76" s="37"/>
      <c r="F76" s="37"/>
      <c r="G76" s="9"/>
      <c r="H76" s="12"/>
      <c r="I76" s="26">
        <f t="shared" si="2"/>
        <v>0</v>
      </c>
      <c r="J76" s="27">
        <f t="shared" si="3"/>
        <v>0</v>
      </c>
      <c r="K76" s="36"/>
      <c r="L76" s="27">
        <f t="shared" si="4"/>
        <v>0</v>
      </c>
      <c r="M76" s="29">
        <f t="shared" si="5"/>
        <v>0</v>
      </c>
      <c r="N76" s="8"/>
      <c r="O76" s="12"/>
      <c r="P76" s="9"/>
      <c r="Q76" s="30"/>
      <c r="R76" s="27">
        <f t="shared" si="6"/>
        <v>0</v>
      </c>
      <c r="S76" s="27">
        <f t="shared" si="7"/>
        <v>0</v>
      </c>
      <c r="T76" s="10"/>
      <c r="U76" s="2"/>
      <c r="V76" s="2"/>
      <c r="W76" s="2"/>
      <c r="X76" s="2"/>
      <c r="Y76" s="9">
        <v>70.0</v>
      </c>
      <c r="Z76" s="9" t="s">
        <v>188</v>
      </c>
      <c r="AA76" s="9">
        <v>150.0</v>
      </c>
      <c r="AB76" s="9" t="s">
        <v>145</v>
      </c>
      <c r="AC76" s="10"/>
      <c r="AD76" s="2"/>
      <c r="AE76" s="2"/>
      <c r="AF76" s="2"/>
      <c r="AG76" s="2"/>
      <c r="AH76" s="2"/>
      <c r="AI76" s="2"/>
    </row>
    <row r="77" ht="14.25" customHeight="1">
      <c r="A77" s="8" t="str">
        <f t="shared" si="1"/>
        <v/>
      </c>
      <c r="B77" s="10"/>
      <c r="C77" s="9"/>
      <c r="D77" s="10"/>
      <c r="E77" s="37"/>
      <c r="F77" s="37"/>
      <c r="G77" s="9"/>
      <c r="H77" s="12"/>
      <c r="I77" s="26">
        <f t="shared" si="2"/>
        <v>0</v>
      </c>
      <c r="J77" s="27">
        <f t="shared" si="3"/>
        <v>0</v>
      </c>
      <c r="K77" s="36"/>
      <c r="L77" s="27">
        <f t="shared" si="4"/>
        <v>0</v>
      </c>
      <c r="M77" s="29">
        <f t="shared" si="5"/>
        <v>0</v>
      </c>
      <c r="N77" s="8"/>
      <c r="O77" s="12"/>
      <c r="P77" s="9"/>
      <c r="Q77" s="30"/>
      <c r="R77" s="27">
        <f t="shared" si="6"/>
        <v>0</v>
      </c>
      <c r="S77" s="27">
        <f t="shared" si="7"/>
        <v>0</v>
      </c>
      <c r="T77" s="10"/>
      <c r="U77" s="2"/>
      <c r="V77" s="2"/>
      <c r="W77" s="2"/>
      <c r="X77" s="2"/>
      <c r="Y77" s="9">
        <v>71.0</v>
      </c>
      <c r="Z77" s="9" t="s">
        <v>189</v>
      </c>
      <c r="AA77" s="9">
        <v>150.0</v>
      </c>
      <c r="AB77" s="9" t="s">
        <v>145</v>
      </c>
      <c r="AC77" s="10"/>
      <c r="AD77" s="2"/>
      <c r="AE77" s="2"/>
      <c r="AF77" s="2"/>
      <c r="AG77" s="2"/>
      <c r="AH77" s="2"/>
      <c r="AI77" s="2"/>
    </row>
    <row r="78" ht="14.25" customHeight="1">
      <c r="A78" s="7"/>
      <c r="B78" s="39" t="s">
        <v>190</v>
      </c>
      <c r="C78" s="39"/>
      <c r="D78" s="39"/>
      <c r="E78" s="39"/>
      <c r="F78" s="39"/>
      <c r="G78" s="39"/>
      <c r="H78" s="39"/>
      <c r="I78" s="40"/>
      <c r="J78" s="40">
        <f>SUM(J7:J77)</f>
        <v>0</v>
      </c>
      <c r="K78" s="40"/>
      <c r="L78" s="40">
        <f t="shared" ref="L78:M78" si="8">SUM(L7:L77)</f>
        <v>0</v>
      </c>
      <c r="M78" s="41">
        <f t="shared" si="8"/>
        <v>0</v>
      </c>
      <c r="N78" s="39"/>
      <c r="O78" s="39"/>
      <c r="P78" s="39"/>
      <c r="Q78" s="40"/>
      <c r="R78" s="40">
        <f>sum(R7:R77)</f>
        <v>0</v>
      </c>
      <c r="S78" s="39"/>
      <c r="T78" s="39"/>
      <c r="U78" s="2"/>
      <c r="V78" s="2"/>
      <c r="W78" s="2"/>
      <c r="X78" s="2"/>
      <c r="Y78" s="9">
        <v>72.0</v>
      </c>
      <c r="Z78" s="9" t="s">
        <v>191</v>
      </c>
      <c r="AA78" s="9">
        <v>700.0</v>
      </c>
      <c r="AB78" s="9" t="s">
        <v>145</v>
      </c>
      <c r="AC78" s="10"/>
      <c r="AD78" s="2"/>
      <c r="AE78" s="2"/>
      <c r="AF78" s="2"/>
      <c r="AG78" s="2"/>
      <c r="AH78" s="2"/>
      <c r="AI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9">
        <v>73.0</v>
      </c>
      <c r="Z79" s="9" t="s">
        <v>192</v>
      </c>
      <c r="AA79" s="9">
        <v>7800.0</v>
      </c>
      <c r="AB79" s="9" t="s">
        <v>130</v>
      </c>
      <c r="AC79" s="9">
        <v>120.0</v>
      </c>
      <c r="AD79" s="2"/>
      <c r="AE79" s="2"/>
      <c r="AF79" s="2"/>
      <c r="AG79" s="2"/>
      <c r="AH79" s="2"/>
      <c r="AI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9">
        <v>74.0</v>
      </c>
      <c r="Z80" s="9" t="s">
        <v>193</v>
      </c>
      <c r="AA80" s="9">
        <v>9500.0</v>
      </c>
      <c r="AB80" s="9" t="s">
        <v>130</v>
      </c>
      <c r="AC80" s="9">
        <v>150.0</v>
      </c>
      <c r="AD80" s="2"/>
      <c r="AE80" s="2"/>
      <c r="AF80" s="2"/>
      <c r="AG80" s="2"/>
      <c r="AH80" s="2"/>
      <c r="AI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9">
        <v>75.0</v>
      </c>
      <c r="Z81" s="9" t="s">
        <v>194</v>
      </c>
      <c r="AA81" s="9">
        <v>11000.0</v>
      </c>
      <c r="AB81" s="9" t="s">
        <v>130</v>
      </c>
      <c r="AC81" s="9">
        <v>180.0</v>
      </c>
      <c r="AD81" s="2"/>
      <c r="AE81" s="2"/>
      <c r="AF81" s="2"/>
      <c r="AG81" s="2"/>
      <c r="AH81" s="2"/>
      <c r="AI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9">
        <v>76.0</v>
      </c>
      <c r="Z82" s="9" t="s">
        <v>195</v>
      </c>
      <c r="AA82" s="9">
        <v>7800.0</v>
      </c>
      <c r="AB82" s="9" t="s">
        <v>130</v>
      </c>
      <c r="AC82" s="9">
        <v>120.0</v>
      </c>
      <c r="AD82" s="2"/>
      <c r="AE82" s="2"/>
      <c r="AF82" s="2"/>
      <c r="AG82" s="2"/>
      <c r="AH82" s="2"/>
      <c r="AI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9">
        <v>77.0</v>
      </c>
      <c r="Z83" s="9" t="s">
        <v>196</v>
      </c>
      <c r="AA83" s="9">
        <v>9500.0</v>
      </c>
      <c r="AB83" s="9" t="s">
        <v>130</v>
      </c>
      <c r="AC83" s="9">
        <v>150.0</v>
      </c>
      <c r="AD83" s="2"/>
      <c r="AE83" s="2"/>
      <c r="AF83" s="2"/>
      <c r="AG83" s="2"/>
      <c r="AH83" s="2"/>
      <c r="AI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9">
        <v>78.0</v>
      </c>
      <c r="Z84" s="9" t="s">
        <v>197</v>
      </c>
      <c r="AA84" s="9">
        <v>11000.0</v>
      </c>
      <c r="AB84" s="9" t="s">
        <v>130</v>
      </c>
      <c r="AC84" s="9">
        <v>180.0</v>
      </c>
      <c r="AD84" s="2"/>
      <c r="AE84" s="2"/>
      <c r="AF84" s="2"/>
      <c r="AG84" s="2"/>
      <c r="AH84" s="2"/>
      <c r="AI84" s="2"/>
    </row>
    <row r="85" ht="14.25" customHeight="1">
      <c r="A85" s="15" t="s">
        <v>6</v>
      </c>
      <c r="B85" s="2"/>
      <c r="C85" s="2"/>
      <c r="D85" s="2"/>
      <c r="E85" s="2"/>
      <c r="F85" s="2"/>
      <c r="G85" s="15" t="s">
        <v>7</v>
      </c>
      <c r="H85" s="2"/>
      <c r="I85" s="2"/>
      <c r="J85" s="2"/>
      <c r="K85" s="2"/>
      <c r="L85" s="2"/>
      <c r="M85" s="15"/>
      <c r="N85" s="15" t="s">
        <v>8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9">
        <v>79.0</v>
      </c>
      <c r="Z85" s="9" t="s">
        <v>198</v>
      </c>
      <c r="AA85" s="9">
        <v>8200.0</v>
      </c>
      <c r="AB85" s="9" t="s">
        <v>130</v>
      </c>
      <c r="AC85" s="9">
        <v>120.0</v>
      </c>
      <c r="AD85" s="2"/>
      <c r="AE85" s="2"/>
      <c r="AF85" s="2"/>
      <c r="AG85" s="2"/>
      <c r="AH85" s="2"/>
      <c r="AI85" s="2"/>
    </row>
    <row r="86" ht="14.25" customHeight="1">
      <c r="A86" s="15" t="s">
        <v>9</v>
      </c>
      <c r="B86" s="2"/>
      <c r="C86" s="2"/>
      <c r="D86" s="2"/>
      <c r="E86" s="2"/>
      <c r="F86" s="15"/>
      <c r="G86" s="15" t="s">
        <v>9</v>
      </c>
      <c r="H86" s="2"/>
      <c r="I86" s="2"/>
      <c r="J86" s="2"/>
      <c r="K86" s="2"/>
      <c r="L86" s="2"/>
      <c r="M86" s="15"/>
      <c r="N86" s="15" t="s">
        <v>9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9">
        <v>80.0</v>
      </c>
      <c r="Z86" s="9" t="s">
        <v>199</v>
      </c>
      <c r="AA86" s="9">
        <v>9800.0</v>
      </c>
      <c r="AB86" s="9" t="s">
        <v>130</v>
      </c>
      <c r="AC86" s="9">
        <v>150.0</v>
      </c>
      <c r="AD86" s="2"/>
      <c r="AE86" s="2"/>
      <c r="AF86" s="2"/>
      <c r="AG86" s="2"/>
      <c r="AH86" s="2"/>
      <c r="AI86" s="2"/>
    </row>
    <row r="87" ht="14.25" customHeight="1">
      <c r="A87" s="4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9">
        <v>81.0</v>
      </c>
      <c r="Z87" s="9" t="s">
        <v>200</v>
      </c>
      <c r="AA87" s="9">
        <v>11300.0</v>
      </c>
      <c r="AB87" s="9" t="s">
        <v>130</v>
      </c>
      <c r="AC87" s="9">
        <v>180.0</v>
      </c>
      <c r="AD87" s="2"/>
      <c r="AE87" s="2"/>
      <c r="AF87" s="2"/>
      <c r="AG87" s="2"/>
      <c r="AH87" s="2"/>
      <c r="AI87" s="2"/>
    </row>
    <row r="88" ht="14.25" customHeight="1">
      <c r="A88" s="4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9">
        <v>82.0</v>
      </c>
      <c r="Z88" s="9" t="s">
        <v>201</v>
      </c>
      <c r="AA88" s="9">
        <v>7800.0</v>
      </c>
      <c r="AB88" s="9" t="s">
        <v>130</v>
      </c>
      <c r="AC88" s="9">
        <v>120.0</v>
      </c>
      <c r="AD88" s="2"/>
      <c r="AE88" s="2"/>
      <c r="AF88" s="2"/>
      <c r="AG88" s="2"/>
      <c r="AH88" s="2"/>
      <c r="AI88" s="2"/>
    </row>
    <row r="89" ht="14.25" customHeight="1">
      <c r="A89" s="4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9">
        <v>83.0</v>
      </c>
      <c r="Z89" s="9" t="s">
        <v>202</v>
      </c>
      <c r="AA89" s="9">
        <v>9500.0</v>
      </c>
      <c r="AB89" s="9" t="s">
        <v>130</v>
      </c>
      <c r="AC89" s="9">
        <v>150.0</v>
      </c>
      <c r="AD89" s="2"/>
      <c r="AE89" s="2"/>
      <c r="AF89" s="2"/>
      <c r="AG89" s="2"/>
      <c r="AH89" s="2"/>
      <c r="AI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9">
        <v>84.0</v>
      </c>
      <c r="Z90" s="9" t="s">
        <v>203</v>
      </c>
      <c r="AA90" s="9">
        <v>11000.0</v>
      </c>
      <c r="AB90" s="9" t="s">
        <v>130</v>
      </c>
      <c r="AC90" s="9">
        <v>180.0</v>
      </c>
      <c r="AD90" s="2"/>
      <c r="AE90" s="2"/>
      <c r="AF90" s="2"/>
      <c r="AG90" s="2"/>
      <c r="AH90" s="2"/>
      <c r="AI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9">
        <v>85.0</v>
      </c>
      <c r="Z91" s="9" t="s">
        <v>204</v>
      </c>
      <c r="AA91" s="9">
        <v>8400.0</v>
      </c>
      <c r="AB91" s="9" t="s">
        <v>130</v>
      </c>
      <c r="AC91" s="9">
        <v>120.0</v>
      </c>
      <c r="AD91" s="2"/>
      <c r="AE91" s="2"/>
      <c r="AF91" s="2"/>
      <c r="AG91" s="2"/>
      <c r="AH91" s="2"/>
      <c r="AI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9">
        <v>86.0</v>
      </c>
      <c r="Z92" s="9" t="s">
        <v>205</v>
      </c>
      <c r="AA92" s="9">
        <v>10000.0</v>
      </c>
      <c r="AB92" s="9" t="s">
        <v>130</v>
      </c>
      <c r="AC92" s="9">
        <v>150.0</v>
      </c>
      <c r="AD92" s="2"/>
      <c r="AE92" s="2"/>
      <c r="AF92" s="2"/>
      <c r="AG92" s="2"/>
      <c r="AH92" s="2"/>
      <c r="AI92" s="2"/>
    </row>
    <row r="93" ht="12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9">
        <v>87.0</v>
      </c>
      <c r="Z93" s="9" t="s">
        <v>206</v>
      </c>
      <c r="AA93" s="9">
        <v>11500.0</v>
      </c>
      <c r="AB93" s="9" t="s">
        <v>130</v>
      </c>
      <c r="AC93" s="9">
        <v>180.0</v>
      </c>
      <c r="AD93" s="2"/>
      <c r="AE93" s="2"/>
      <c r="AF93" s="2"/>
      <c r="AG93" s="2"/>
      <c r="AH93" s="2"/>
      <c r="AI93" s="2"/>
    </row>
    <row r="94" ht="16.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2"/>
      <c r="P94" s="2"/>
      <c r="Q94" s="2"/>
      <c r="R94" s="2"/>
      <c r="S94" s="2"/>
      <c r="T94" s="2"/>
      <c r="U94" s="2"/>
      <c r="V94" s="2"/>
      <c r="W94" s="2"/>
      <c r="X94" s="2"/>
      <c r="Y94" s="9">
        <v>88.0</v>
      </c>
      <c r="Z94" s="9" t="s">
        <v>207</v>
      </c>
      <c r="AA94" s="9">
        <v>2500.0</v>
      </c>
      <c r="AB94" s="9" t="s">
        <v>145</v>
      </c>
      <c r="AC94" s="9">
        <v>30.0</v>
      </c>
      <c r="AD94" s="2"/>
      <c r="AE94" s="2"/>
      <c r="AF94" s="2"/>
      <c r="AG94" s="2"/>
      <c r="AH94" s="2"/>
      <c r="AI94" s="2"/>
    </row>
    <row r="95" ht="14.2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  <c r="N95" s="43"/>
      <c r="O95" s="2"/>
      <c r="P95" s="2"/>
      <c r="Q95" s="2"/>
      <c r="R95" s="2"/>
      <c r="S95" s="2"/>
      <c r="T95" s="2"/>
      <c r="U95" s="2"/>
      <c r="V95" s="2"/>
      <c r="W95" s="2"/>
      <c r="X95" s="2"/>
      <c r="Y95" s="9">
        <v>89.0</v>
      </c>
      <c r="Z95" s="9" t="s">
        <v>208</v>
      </c>
      <c r="AA95" s="9">
        <v>3500.0</v>
      </c>
      <c r="AB95" s="9" t="s">
        <v>145</v>
      </c>
      <c r="AC95" s="9">
        <v>45.0</v>
      </c>
      <c r="AD95" s="2"/>
      <c r="AE95" s="2"/>
      <c r="AF95" s="2"/>
      <c r="AG95" s="2"/>
      <c r="AH95" s="2"/>
      <c r="AI95" s="2"/>
    </row>
    <row r="96" ht="14.2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  <c r="L96" s="43"/>
      <c r="M96" s="43"/>
      <c r="N96" s="43"/>
      <c r="O96" s="2"/>
      <c r="P96" s="2"/>
      <c r="Q96" s="2"/>
      <c r="R96" s="2"/>
      <c r="S96" s="2"/>
      <c r="T96" s="2"/>
      <c r="U96" s="2"/>
      <c r="V96" s="2"/>
      <c r="W96" s="2"/>
      <c r="X96" s="2"/>
      <c r="Y96" s="9">
        <v>90.0</v>
      </c>
      <c r="Z96" s="9" t="s">
        <v>209</v>
      </c>
      <c r="AA96" s="9">
        <v>4500.0</v>
      </c>
      <c r="AB96" s="9" t="s">
        <v>145</v>
      </c>
      <c r="AC96" s="9">
        <v>60.0</v>
      </c>
      <c r="AD96" s="2"/>
      <c r="AE96" s="2"/>
      <c r="AF96" s="2"/>
      <c r="AG96" s="2"/>
      <c r="AH96" s="2"/>
      <c r="AI96" s="2"/>
    </row>
    <row r="97" ht="14.2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  <c r="L97" s="43"/>
      <c r="M97" s="43"/>
      <c r="N97" s="43"/>
      <c r="O97" s="2"/>
      <c r="P97" s="2"/>
      <c r="Q97" s="2"/>
      <c r="R97" s="2"/>
      <c r="S97" s="2"/>
      <c r="T97" s="2"/>
      <c r="U97" s="2"/>
      <c r="V97" s="2"/>
      <c r="W97" s="2"/>
      <c r="X97" s="2"/>
      <c r="Y97" s="9">
        <v>91.0</v>
      </c>
      <c r="Z97" s="9" t="s">
        <v>210</v>
      </c>
      <c r="AA97" s="9">
        <v>800.0</v>
      </c>
      <c r="AB97" s="9" t="s">
        <v>104</v>
      </c>
      <c r="AC97" s="9">
        <v>30.0</v>
      </c>
      <c r="AD97" s="2"/>
      <c r="AE97" s="2"/>
      <c r="AF97" s="2"/>
      <c r="AG97" s="2"/>
      <c r="AH97" s="2"/>
      <c r="AI97" s="2"/>
    </row>
    <row r="98" ht="14.2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2"/>
      <c r="P98" s="2"/>
      <c r="Q98" s="2"/>
      <c r="R98" s="2"/>
      <c r="S98" s="2"/>
      <c r="T98" s="2"/>
      <c r="U98" s="2"/>
      <c r="V98" s="2"/>
      <c r="W98" s="2"/>
      <c r="X98" s="2"/>
      <c r="Y98" s="9">
        <v>92.0</v>
      </c>
      <c r="Z98" s="9" t="s">
        <v>211</v>
      </c>
      <c r="AA98" s="9">
        <v>500.0</v>
      </c>
      <c r="AB98" s="9" t="s">
        <v>104</v>
      </c>
      <c r="AC98" s="9">
        <v>30.0</v>
      </c>
      <c r="AD98" s="2"/>
      <c r="AE98" s="2"/>
      <c r="AF98" s="2"/>
      <c r="AG98" s="2"/>
      <c r="AH98" s="2"/>
      <c r="AI98" s="2"/>
    </row>
    <row r="99" ht="14.2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2"/>
      <c r="P99" s="2"/>
      <c r="Q99" s="2"/>
      <c r="R99" s="2"/>
      <c r="S99" s="2"/>
      <c r="T99" s="2"/>
      <c r="U99" s="2"/>
      <c r="V99" s="2"/>
      <c r="W99" s="2"/>
      <c r="X99" s="2"/>
      <c r="Y99" s="9">
        <v>93.0</v>
      </c>
      <c r="Z99" s="9" t="s">
        <v>212</v>
      </c>
      <c r="AA99" s="9">
        <v>300.0</v>
      </c>
      <c r="AB99" s="9" t="s">
        <v>104</v>
      </c>
      <c r="AC99" s="9">
        <v>15.0</v>
      </c>
      <c r="AD99" s="2"/>
      <c r="AE99" s="2"/>
      <c r="AF99" s="2"/>
      <c r="AG99" s="2"/>
      <c r="AH99" s="2"/>
      <c r="AI99" s="2"/>
    </row>
    <row r="100" ht="14.2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9">
        <v>94.0</v>
      </c>
      <c r="Z100" s="9" t="s">
        <v>213</v>
      </c>
      <c r="AA100" s="9">
        <v>500.0</v>
      </c>
      <c r="AB100" s="9" t="s">
        <v>104</v>
      </c>
      <c r="AC100" s="9">
        <v>30.0</v>
      </c>
      <c r="AD100" s="2"/>
      <c r="AE100" s="2"/>
      <c r="AF100" s="2"/>
      <c r="AG100" s="2"/>
      <c r="AH100" s="2"/>
      <c r="AI100" s="2"/>
    </row>
    <row r="101" ht="14.25" customHeight="1">
      <c r="A101" s="43"/>
      <c r="B101" s="43"/>
      <c r="C101" s="43"/>
      <c r="D101" s="43"/>
      <c r="E101" s="43"/>
      <c r="F101" s="43"/>
      <c r="G101" s="43"/>
      <c r="H101" s="43"/>
      <c r="I101" s="43"/>
      <c r="J101" s="43"/>
      <c r="K101" s="43"/>
      <c r="L101" s="43"/>
      <c r="M101" s="43"/>
      <c r="N101" s="43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9">
        <v>95.0</v>
      </c>
      <c r="Z101" s="9" t="s">
        <v>214</v>
      </c>
      <c r="AA101" s="9">
        <v>1200.0</v>
      </c>
      <c r="AB101" s="9" t="s">
        <v>104</v>
      </c>
      <c r="AC101" s="9">
        <v>30.0</v>
      </c>
      <c r="AD101" s="2"/>
      <c r="AE101" s="2"/>
      <c r="AF101" s="2"/>
      <c r="AG101" s="2"/>
      <c r="AH101" s="2"/>
      <c r="AI101" s="2"/>
    </row>
    <row r="102" ht="14.25" customHeight="1">
      <c r="A102" s="43"/>
      <c r="B102" s="43"/>
      <c r="C102" s="43"/>
      <c r="D102" s="43"/>
      <c r="E102" s="43"/>
      <c r="F102" s="43"/>
      <c r="G102" s="43"/>
      <c r="H102" s="43"/>
      <c r="I102" s="43"/>
      <c r="J102" s="43"/>
      <c r="K102" s="43"/>
      <c r="L102" s="43"/>
      <c r="M102" s="43"/>
      <c r="N102" s="43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9">
        <v>96.0</v>
      </c>
      <c r="Z102" s="9" t="s">
        <v>215</v>
      </c>
      <c r="AA102" s="9">
        <v>1000.0</v>
      </c>
      <c r="AB102" s="9" t="s">
        <v>104</v>
      </c>
      <c r="AC102" s="9">
        <v>30.0</v>
      </c>
      <c r="AD102" s="2"/>
      <c r="AE102" s="2"/>
      <c r="AF102" s="2"/>
      <c r="AG102" s="2"/>
      <c r="AH102" s="2"/>
      <c r="AI102" s="2"/>
    </row>
    <row r="103" ht="14.25" customHeight="1">
      <c r="A103" s="43"/>
      <c r="B103" s="43"/>
      <c r="C103" s="43"/>
      <c r="D103" s="43"/>
      <c r="E103" s="43"/>
      <c r="F103" s="43"/>
      <c r="G103" s="43"/>
      <c r="H103" s="43"/>
      <c r="I103" s="43"/>
      <c r="J103" s="43"/>
      <c r="K103" s="43"/>
      <c r="L103" s="43"/>
      <c r="M103" s="43"/>
      <c r="N103" s="43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9">
        <v>97.0</v>
      </c>
      <c r="Z103" s="9" t="s">
        <v>216</v>
      </c>
      <c r="AA103" s="9">
        <v>500.0</v>
      </c>
      <c r="AB103" s="9" t="s">
        <v>104</v>
      </c>
      <c r="AC103" s="9">
        <v>30.0</v>
      </c>
      <c r="AD103" s="2"/>
      <c r="AE103" s="2"/>
      <c r="AF103" s="2"/>
      <c r="AG103" s="2"/>
      <c r="AH103" s="2"/>
      <c r="AI103" s="2"/>
    </row>
    <row r="104" ht="14.25" customHeight="1">
      <c r="A104" s="43"/>
      <c r="B104" s="43"/>
      <c r="C104" s="43"/>
      <c r="D104" s="43"/>
      <c r="E104" s="43"/>
      <c r="F104" s="43"/>
      <c r="G104" s="43"/>
      <c r="H104" s="43"/>
      <c r="I104" s="43"/>
      <c r="J104" s="43"/>
      <c r="K104" s="43"/>
      <c r="L104" s="43"/>
      <c r="M104" s="43"/>
      <c r="N104" s="43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9">
        <v>98.0</v>
      </c>
      <c r="Z104" s="9" t="s">
        <v>217</v>
      </c>
      <c r="AA104" s="9">
        <v>800.0</v>
      </c>
      <c r="AB104" s="9" t="s">
        <v>104</v>
      </c>
      <c r="AC104" s="9">
        <v>30.0</v>
      </c>
      <c r="AD104" s="2"/>
      <c r="AE104" s="2"/>
      <c r="AF104" s="2"/>
      <c r="AG104" s="2"/>
      <c r="AH104" s="2"/>
      <c r="AI104" s="2"/>
    </row>
    <row r="105" ht="14.25" customHeight="1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  <c r="M105" s="43"/>
      <c r="N105" s="43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9">
        <v>99.0</v>
      </c>
      <c r="Z105" s="9" t="s">
        <v>218</v>
      </c>
      <c r="AA105" s="9">
        <v>500.0</v>
      </c>
      <c r="AB105" s="9" t="s">
        <v>104</v>
      </c>
      <c r="AC105" s="9">
        <v>30.0</v>
      </c>
      <c r="AD105" s="2"/>
      <c r="AE105" s="2"/>
      <c r="AF105" s="2"/>
      <c r="AG105" s="2"/>
      <c r="AH105" s="2"/>
      <c r="AI105" s="2"/>
    </row>
    <row r="106" ht="14.25" customHeight="1">
      <c r="A106" s="43"/>
      <c r="B106" s="43"/>
      <c r="C106" s="43"/>
      <c r="D106" s="43"/>
      <c r="E106" s="43"/>
      <c r="F106" s="43"/>
      <c r="G106" s="43"/>
      <c r="H106" s="43"/>
      <c r="I106" s="43"/>
      <c r="J106" s="43"/>
      <c r="K106" s="43"/>
      <c r="L106" s="43"/>
      <c r="M106" s="43"/>
      <c r="N106" s="43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9">
        <v>100.0</v>
      </c>
      <c r="Z106" s="9" t="s">
        <v>219</v>
      </c>
      <c r="AA106" s="9">
        <v>600.0</v>
      </c>
      <c r="AB106" s="9" t="s">
        <v>104</v>
      </c>
      <c r="AC106" s="9">
        <v>30.0</v>
      </c>
      <c r="AD106" s="2"/>
      <c r="AE106" s="2"/>
      <c r="AF106" s="2"/>
      <c r="AG106" s="2"/>
      <c r="AH106" s="2"/>
      <c r="AI106" s="2"/>
    </row>
    <row r="107" ht="14.25" customHeight="1">
      <c r="A107" s="43"/>
      <c r="B107" s="43"/>
      <c r="C107" s="43"/>
      <c r="D107" s="43"/>
      <c r="E107" s="43"/>
      <c r="F107" s="43"/>
      <c r="G107" s="43"/>
      <c r="H107" s="43"/>
      <c r="I107" s="43"/>
      <c r="J107" s="43"/>
      <c r="K107" s="43"/>
      <c r="L107" s="43"/>
      <c r="M107" s="43"/>
      <c r="N107" s="43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9">
        <v>101.0</v>
      </c>
      <c r="Z107" s="9" t="s">
        <v>220</v>
      </c>
      <c r="AA107" s="9">
        <v>800.0</v>
      </c>
      <c r="AB107" s="9" t="s">
        <v>104</v>
      </c>
      <c r="AC107" s="9">
        <v>30.0</v>
      </c>
      <c r="AD107" s="2"/>
      <c r="AE107" s="2"/>
      <c r="AF107" s="2"/>
      <c r="AG107" s="2"/>
      <c r="AH107" s="2"/>
      <c r="AI107" s="2"/>
    </row>
    <row r="108" ht="14.25" customHeight="1">
      <c r="A108" s="43"/>
      <c r="B108" s="43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9">
        <v>102.0</v>
      </c>
      <c r="Z108" s="9" t="s">
        <v>221</v>
      </c>
      <c r="AA108" s="9">
        <v>800.0</v>
      </c>
      <c r="AB108" s="9" t="s">
        <v>104</v>
      </c>
      <c r="AC108" s="9">
        <v>30.0</v>
      </c>
      <c r="AD108" s="2"/>
      <c r="AE108" s="2"/>
      <c r="AF108" s="2"/>
      <c r="AG108" s="2"/>
      <c r="AH108" s="2"/>
      <c r="AI108" s="2"/>
    </row>
    <row r="109" ht="14.25" customHeight="1">
      <c r="A109" s="43"/>
      <c r="B109" s="43"/>
      <c r="C109" s="43"/>
      <c r="D109" s="43"/>
      <c r="E109" s="43"/>
      <c r="F109" s="43"/>
      <c r="G109" s="43"/>
      <c r="H109" s="43"/>
      <c r="I109" s="43"/>
      <c r="J109" s="43"/>
      <c r="K109" s="43"/>
      <c r="L109" s="43"/>
      <c r="M109" s="43"/>
      <c r="N109" s="43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9">
        <v>103.0</v>
      </c>
      <c r="Z109" s="9" t="s">
        <v>222</v>
      </c>
      <c r="AA109" s="9">
        <v>1200.0</v>
      </c>
      <c r="AB109" s="9" t="s">
        <v>104</v>
      </c>
      <c r="AC109" s="9">
        <v>30.0</v>
      </c>
      <c r="AD109" s="2"/>
      <c r="AE109" s="2"/>
      <c r="AF109" s="2"/>
      <c r="AG109" s="2"/>
      <c r="AH109" s="2"/>
      <c r="AI109" s="2"/>
    </row>
    <row r="110" ht="14.25" customHeight="1">
      <c r="A110" s="43"/>
      <c r="B110" s="43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9">
        <v>104.0</v>
      </c>
      <c r="Z110" s="9" t="s">
        <v>223</v>
      </c>
      <c r="AA110" s="9">
        <v>1700.0</v>
      </c>
      <c r="AB110" s="9" t="s">
        <v>104</v>
      </c>
      <c r="AC110" s="9">
        <v>90.0</v>
      </c>
      <c r="AD110" s="2"/>
      <c r="AE110" s="2"/>
      <c r="AF110" s="2"/>
      <c r="AG110" s="2"/>
      <c r="AH110" s="2"/>
      <c r="AI110" s="2"/>
    </row>
    <row r="111" ht="14.25" customHeight="1">
      <c r="A111" s="43"/>
      <c r="B111" s="43"/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9">
        <v>105.0</v>
      </c>
      <c r="Z111" s="9" t="s">
        <v>224</v>
      </c>
      <c r="AA111" s="9">
        <v>2200.0</v>
      </c>
      <c r="AB111" s="9" t="s">
        <v>104</v>
      </c>
      <c r="AC111" s="9">
        <v>90.0</v>
      </c>
      <c r="AD111" s="2"/>
      <c r="AE111" s="2"/>
      <c r="AF111" s="2"/>
      <c r="AG111" s="2"/>
      <c r="AH111" s="2"/>
      <c r="AI111" s="2"/>
    </row>
    <row r="112" ht="14.25" customHeight="1">
      <c r="A112" s="43"/>
      <c r="B112" s="43"/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9">
        <v>106.0</v>
      </c>
      <c r="Z112" s="9" t="s">
        <v>225</v>
      </c>
      <c r="AA112" s="9">
        <v>4000.0</v>
      </c>
      <c r="AB112" s="9" t="s">
        <v>104</v>
      </c>
      <c r="AC112" s="10"/>
      <c r="AD112" s="2"/>
      <c r="AE112" s="2"/>
      <c r="AF112" s="2"/>
      <c r="AG112" s="2"/>
      <c r="AH112" s="2"/>
      <c r="AI112" s="2"/>
    </row>
    <row r="113" ht="14.25" customHeight="1">
      <c r="A113" s="43"/>
      <c r="B113" s="43"/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9">
        <v>107.0</v>
      </c>
      <c r="Z113" s="9" t="s">
        <v>226</v>
      </c>
      <c r="AA113" s="9">
        <v>5000.0</v>
      </c>
      <c r="AB113" s="9" t="s">
        <v>104</v>
      </c>
      <c r="AC113" s="10"/>
      <c r="AD113" s="2"/>
      <c r="AE113" s="2"/>
      <c r="AF113" s="2"/>
      <c r="AG113" s="2"/>
      <c r="AH113" s="2"/>
      <c r="AI113" s="2"/>
    </row>
    <row r="114" ht="14.25" customHeight="1">
      <c r="A114" s="43"/>
      <c r="B114" s="43"/>
      <c r="C114" s="43"/>
      <c r="D114" s="43"/>
      <c r="E114" s="43"/>
      <c r="F114" s="43"/>
      <c r="G114" s="43"/>
      <c r="H114" s="43"/>
      <c r="I114" s="43"/>
      <c r="J114" s="43"/>
      <c r="K114" s="43"/>
      <c r="L114" s="43"/>
      <c r="M114" s="43"/>
      <c r="N114" s="43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9">
        <v>108.0</v>
      </c>
      <c r="Z114" s="9" t="s">
        <v>227</v>
      </c>
      <c r="AA114" s="9">
        <v>6000.0</v>
      </c>
      <c r="AB114" s="9" t="s">
        <v>104</v>
      </c>
      <c r="AC114" s="10"/>
      <c r="AD114" s="2"/>
      <c r="AE114" s="2"/>
      <c r="AF114" s="2"/>
      <c r="AG114" s="2"/>
      <c r="AH114" s="2"/>
      <c r="AI114" s="2"/>
    </row>
    <row r="115" ht="14.25" customHeight="1">
      <c r="A115" s="43"/>
      <c r="B115" s="43"/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9">
        <v>109.0</v>
      </c>
      <c r="Z115" s="9" t="s">
        <v>228</v>
      </c>
      <c r="AA115" s="9">
        <v>1000.0</v>
      </c>
      <c r="AB115" s="9" t="s">
        <v>104</v>
      </c>
      <c r="AC115" s="10"/>
      <c r="AD115" s="2"/>
      <c r="AE115" s="2"/>
      <c r="AF115" s="2"/>
      <c r="AG115" s="2"/>
      <c r="AH115" s="2"/>
      <c r="AI115" s="2"/>
    </row>
    <row r="116" ht="14.25" customHeight="1">
      <c r="A116" s="43"/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9">
        <v>110.0</v>
      </c>
      <c r="Z116" s="9" t="s">
        <v>229</v>
      </c>
      <c r="AA116" s="9">
        <v>5000.0</v>
      </c>
      <c r="AB116" s="9" t="s">
        <v>104</v>
      </c>
      <c r="AC116" s="10"/>
      <c r="AD116" s="2"/>
      <c r="AE116" s="2"/>
      <c r="AF116" s="2"/>
      <c r="AG116" s="2"/>
      <c r="AH116" s="2"/>
      <c r="AI116" s="2"/>
    </row>
    <row r="117" ht="14.25" customHeight="1">
      <c r="A117" s="43"/>
      <c r="B117" s="43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9">
        <v>111.0</v>
      </c>
      <c r="Z117" s="9" t="s">
        <v>230</v>
      </c>
      <c r="AA117" s="9">
        <v>6000.0</v>
      </c>
      <c r="AB117" s="9" t="s">
        <v>104</v>
      </c>
      <c r="AC117" s="10"/>
      <c r="AD117" s="2"/>
      <c r="AE117" s="2"/>
      <c r="AF117" s="2"/>
      <c r="AG117" s="2"/>
      <c r="AH117" s="2"/>
      <c r="AI117" s="2"/>
    </row>
    <row r="118" ht="14.25" customHeight="1">
      <c r="A118" s="43"/>
      <c r="B118" s="43"/>
      <c r="C118" s="43"/>
      <c r="D118" s="43"/>
      <c r="E118" s="43"/>
      <c r="F118" s="43"/>
      <c r="G118" s="43"/>
      <c r="H118" s="43"/>
      <c r="I118" s="43"/>
      <c r="J118" s="43"/>
      <c r="K118" s="43"/>
      <c r="L118" s="43"/>
      <c r="M118" s="43"/>
      <c r="N118" s="43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9">
        <v>112.0</v>
      </c>
      <c r="Z118" s="9" t="s">
        <v>231</v>
      </c>
      <c r="AA118" s="9">
        <v>7000.0</v>
      </c>
      <c r="AB118" s="9" t="s">
        <v>104</v>
      </c>
      <c r="AC118" s="10"/>
      <c r="AD118" s="2"/>
      <c r="AE118" s="2"/>
      <c r="AF118" s="2"/>
      <c r="AG118" s="2"/>
      <c r="AH118" s="2"/>
      <c r="AI118" s="2"/>
    </row>
    <row r="119" ht="14.25" customHeight="1">
      <c r="A119" s="43"/>
      <c r="B119" s="43"/>
      <c r="C119" s="43"/>
      <c r="D119" s="43"/>
      <c r="E119" s="43"/>
      <c r="F119" s="43"/>
      <c r="G119" s="43"/>
      <c r="H119" s="43"/>
      <c r="I119" s="43"/>
      <c r="J119" s="43"/>
      <c r="K119" s="43"/>
      <c r="L119" s="43"/>
      <c r="M119" s="43"/>
      <c r="N119" s="43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9">
        <v>113.0</v>
      </c>
      <c r="Z119" s="9" t="s">
        <v>232</v>
      </c>
      <c r="AA119" s="9">
        <v>3500.0</v>
      </c>
      <c r="AB119" s="9" t="s">
        <v>104</v>
      </c>
      <c r="AC119" s="10"/>
      <c r="AD119" s="2"/>
      <c r="AE119" s="2"/>
      <c r="AF119" s="2"/>
      <c r="AG119" s="2"/>
      <c r="AH119" s="2"/>
      <c r="AI119" s="2"/>
    </row>
    <row r="120" ht="14.25" customHeight="1">
      <c r="A120" s="43"/>
      <c r="B120" s="43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9">
        <v>114.0</v>
      </c>
      <c r="Z120" s="9" t="s">
        <v>233</v>
      </c>
      <c r="AA120" s="9">
        <v>4500.0</v>
      </c>
      <c r="AB120" s="9" t="s">
        <v>104</v>
      </c>
      <c r="AC120" s="10"/>
      <c r="AD120" s="2"/>
      <c r="AE120" s="2"/>
      <c r="AF120" s="2"/>
      <c r="AG120" s="2"/>
      <c r="AH120" s="2"/>
      <c r="AI120" s="2"/>
    </row>
    <row r="121" ht="14.25" customHeight="1">
      <c r="A121" s="43"/>
      <c r="B121" s="43"/>
      <c r="C121" s="43"/>
      <c r="D121" s="43"/>
      <c r="E121" s="43"/>
      <c r="F121" s="43"/>
      <c r="G121" s="43"/>
      <c r="H121" s="43"/>
      <c r="I121" s="43"/>
      <c r="J121" s="43"/>
      <c r="K121" s="43"/>
      <c r="L121" s="43"/>
      <c r="M121" s="43"/>
      <c r="N121" s="43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9">
        <v>115.0</v>
      </c>
      <c r="Z121" s="9" t="s">
        <v>234</v>
      </c>
      <c r="AA121" s="9">
        <v>6000.0</v>
      </c>
      <c r="AB121" s="9" t="s">
        <v>104</v>
      </c>
      <c r="AC121" s="10"/>
      <c r="AD121" s="2"/>
      <c r="AE121" s="2"/>
      <c r="AF121" s="2"/>
      <c r="AG121" s="2"/>
      <c r="AH121" s="2"/>
      <c r="AI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9">
        <v>116.0</v>
      </c>
      <c r="Z122" s="44" t="s">
        <v>235</v>
      </c>
      <c r="AA122" s="45">
        <v>1000.0</v>
      </c>
      <c r="AB122" s="9" t="s">
        <v>104</v>
      </c>
      <c r="AC122" s="46"/>
      <c r="AD122" s="2"/>
      <c r="AE122" s="2"/>
      <c r="AF122" s="2"/>
      <c r="AG122" s="2"/>
      <c r="AH122" s="2"/>
      <c r="AI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9">
        <v>117.0</v>
      </c>
      <c r="Z123" s="44" t="s">
        <v>236</v>
      </c>
      <c r="AA123" s="45">
        <v>250.0</v>
      </c>
      <c r="AB123" s="9" t="s">
        <v>104</v>
      </c>
      <c r="AC123" s="46"/>
      <c r="AD123" s="2"/>
      <c r="AE123" s="2"/>
      <c r="AF123" s="2"/>
      <c r="AG123" s="2"/>
      <c r="AH123" s="2"/>
      <c r="AI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9">
        <v>118.0</v>
      </c>
      <c r="Z124" s="9" t="s">
        <v>237</v>
      </c>
      <c r="AA124" s="9">
        <v>2000.0</v>
      </c>
      <c r="AB124" s="9" t="s">
        <v>104</v>
      </c>
      <c r="AC124" s="10"/>
      <c r="AD124" s="2"/>
      <c r="AE124" s="2"/>
      <c r="AF124" s="2"/>
      <c r="AG124" s="2"/>
      <c r="AH124" s="2"/>
      <c r="AI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9">
        <v>119.0</v>
      </c>
      <c r="Z125" s="9" t="s">
        <v>238</v>
      </c>
      <c r="AA125" s="9">
        <v>2500.0</v>
      </c>
      <c r="AB125" s="9" t="s">
        <v>104</v>
      </c>
      <c r="AC125" s="10"/>
      <c r="AD125" s="2"/>
      <c r="AE125" s="2"/>
      <c r="AF125" s="2"/>
      <c r="AG125" s="2"/>
      <c r="AH125" s="2"/>
      <c r="AI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9">
        <v>120.0</v>
      </c>
      <c r="Z126" s="9" t="s">
        <v>239</v>
      </c>
      <c r="AA126" s="9">
        <v>3000.0</v>
      </c>
      <c r="AB126" s="9" t="s">
        <v>104</v>
      </c>
      <c r="AC126" s="10"/>
      <c r="AD126" s="2"/>
      <c r="AE126" s="2"/>
      <c r="AF126" s="2"/>
      <c r="AG126" s="2"/>
      <c r="AH126" s="2"/>
      <c r="AI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9">
        <v>121.0</v>
      </c>
      <c r="Z127" s="9" t="s">
        <v>240</v>
      </c>
      <c r="AA127" s="9">
        <v>5000.0</v>
      </c>
      <c r="AB127" s="9" t="s">
        <v>104</v>
      </c>
      <c r="AC127" s="10"/>
      <c r="AD127" s="2"/>
      <c r="AE127" s="2"/>
      <c r="AF127" s="2"/>
      <c r="AG127" s="2"/>
      <c r="AH127" s="2"/>
      <c r="AI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9">
        <v>122.0</v>
      </c>
      <c r="Z128" s="9" t="s">
        <v>241</v>
      </c>
      <c r="AA128" s="9">
        <v>6000.0</v>
      </c>
      <c r="AB128" s="9" t="s">
        <v>104</v>
      </c>
      <c r="AC128" s="10"/>
      <c r="AD128" s="2"/>
      <c r="AE128" s="2"/>
      <c r="AF128" s="2"/>
      <c r="AG128" s="2"/>
      <c r="AH128" s="2"/>
      <c r="AI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9">
        <v>123.0</v>
      </c>
      <c r="Z129" s="9" t="s">
        <v>242</v>
      </c>
      <c r="AA129" s="9">
        <v>5000.0</v>
      </c>
      <c r="AB129" s="9" t="s">
        <v>104</v>
      </c>
      <c r="AC129" s="10"/>
      <c r="AD129" s="2"/>
      <c r="AE129" s="2"/>
      <c r="AF129" s="2"/>
      <c r="AG129" s="2"/>
      <c r="AH129" s="2"/>
      <c r="AI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9">
        <v>124.0</v>
      </c>
      <c r="Z130" s="9" t="s">
        <v>243</v>
      </c>
      <c r="AA130" s="9">
        <v>6000.0</v>
      </c>
      <c r="AB130" s="9" t="s">
        <v>104</v>
      </c>
      <c r="AC130" s="10"/>
      <c r="AD130" s="2"/>
      <c r="AE130" s="2"/>
      <c r="AF130" s="2"/>
      <c r="AG130" s="2"/>
      <c r="AH130" s="2"/>
      <c r="AI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9">
        <v>125.0</v>
      </c>
      <c r="Z131" s="9" t="s">
        <v>244</v>
      </c>
      <c r="AA131" s="9">
        <v>7000.0</v>
      </c>
      <c r="AB131" s="9" t="s">
        <v>104</v>
      </c>
      <c r="AC131" s="10"/>
      <c r="AD131" s="2"/>
      <c r="AE131" s="2"/>
      <c r="AF131" s="2"/>
      <c r="AG131" s="2"/>
      <c r="AH131" s="2"/>
      <c r="AI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9">
        <v>126.0</v>
      </c>
      <c r="Z132" s="9" t="s">
        <v>245</v>
      </c>
      <c r="AA132" s="9">
        <v>5500.0</v>
      </c>
      <c r="AB132" s="9" t="s">
        <v>104</v>
      </c>
      <c r="AC132" s="10"/>
      <c r="AD132" s="2"/>
      <c r="AE132" s="2"/>
      <c r="AF132" s="2"/>
      <c r="AG132" s="2"/>
      <c r="AH132" s="2"/>
      <c r="AI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9">
        <v>127.0</v>
      </c>
      <c r="Z133" s="9" t="s">
        <v>246</v>
      </c>
      <c r="AA133" s="9">
        <v>6500.0</v>
      </c>
      <c r="AB133" s="9" t="s">
        <v>104</v>
      </c>
      <c r="AC133" s="10"/>
      <c r="AD133" s="2"/>
      <c r="AE133" s="2"/>
      <c r="AF133" s="2"/>
      <c r="AG133" s="2"/>
      <c r="AH133" s="2"/>
      <c r="AI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9">
        <v>128.0</v>
      </c>
      <c r="Z134" s="9" t="s">
        <v>247</v>
      </c>
      <c r="AA134" s="9">
        <v>7500.0</v>
      </c>
      <c r="AB134" s="9" t="s">
        <v>104</v>
      </c>
      <c r="AC134" s="10"/>
      <c r="AD134" s="2"/>
      <c r="AE134" s="2"/>
      <c r="AF134" s="2"/>
      <c r="AG134" s="2"/>
      <c r="AH134" s="2"/>
      <c r="AI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9">
        <v>129.0</v>
      </c>
      <c r="Z135" s="9" t="s">
        <v>248</v>
      </c>
      <c r="AA135" s="9">
        <v>6000.0</v>
      </c>
      <c r="AB135" s="9" t="s">
        <v>104</v>
      </c>
      <c r="AC135" s="10"/>
      <c r="AD135" s="2"/>
      <c r="AE135" s="2"/>
      <c r="AF135" s="2"/>
      <c r="AG135" s="2"/>
      <c r="AH135" s="2"/>
      <c r="AI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9">
        <v>130.0</v>
      </c>
      <c r="Z136" s="9" t="s">
        <v>249</v>
      </c>
      <c r="AA136" s="9">
        <v>9000.0</v>
      </c>
      <c r="AB136" s="9" t="s">
        <v>104</v>
      </c>
      <c r="AC136" s="10"/>
      <c r="AD136" s="2"/>
      <c r="AE136" s="2"/>
      <c r="AF136" s="2"/>
      <c r="AG136" s="2"/>
      <c r="AH136" s="2"/>
      <c r="AI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9">
        <v>131.0</v>
      </c>
      <c r="Z137" s="9" t="s">
        <v>250</v>
      </c>
      <c r="AA137" s="9">
        <v>11000.0</v>
      </c>
      <c r="AB137" s="9" t="s">
        <v>104</v>
      </c>
      <c r="AC137" s="10"/>
      <c r="AD137" s="2"/>
      <c r="AE137" s="2"/>
      <c r="AF137" s="2"/>
      <c r="AG137" s="2"/>
      <c r="AH137" s="2"/>
      <c r="AI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9">
        <v>132.0</v>
      </c>
      <c r="Z138" s="9" t="s">
        <v>251</v>
      </c>
      <c r="AA138" s="9">
        <v>13000.0</v>
      </c>
      <c r="AB138" s="9" t="s">
        <v>104</v>
      </c>
      <c r="AC138" s="10"/>
      <c r="AD138" s="2"/>
      <c r="AE138" s="2"/>
      <c r="AF138" s="2"/>
      <c r="AG138" s="2"/>
      <c r="AH138" s="2"/>
      <c r="AI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9">
        <v>133.0</v>
      </c>
      <c r="Z139" s="9" t="s">
        <v>252</v>
      </c>
      <c r="AA139" s="9">
        <v>1500.0</v>
      </c>
      <c r="AB139" s="9" t="s">
        <v>104</v>
      </c>
      <c r="AC139" s="10"/>
      <c r="AD139" s="2"/>
      <c r="AE139" s="2"/>
      <c r="AF139" s="2"/>
      <c r="AG139" s="2"/>
      <c r="AH139" s="2"/>
      <c r="AI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9">
        <v>134.0</v>
      </c>
      <c r="Z140" s="9" t="s">
        <v>253</v>
      </c>
      <c r="AA140" s="9">
        <v>2000.0</v>
      </c>
      <c r="AB140" s="9" t="s">
        <v>104</v>
      </c>
      <c r="AC140" s="10"/>
      <c r="AD140" s="2"/>
      <c r="AE140" s="2"/>
      <c r="AF140" s="2"/>
      <c r="AG140" s="2"/>
      <c r="AH140" s="2"/>
      <c r="AI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9">
        <v>135.0</v>
      </c>
      <c r="Z141" s="9" t="s">
        <v>254</v>
      </c>
      <c r="AA141" s="9">
        <v>2500.0</v>
      </c>
      <c r="AB141" s="9" t="s">
        <v>104</v>
      </c>
      <c r="AC141" s="10"/>
      <c r="AD141" s="2"/>
      <c r="AE141" s="2"/>
      <c r="AF141" s="2"/>
      <c r="AG141" s="2"/>
      <c r="AH141" s="2"/>
      <c r="AI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9">
        <v>136.0</v>
      </c>
      <c r="Z142" s="9" t="s">
        <v>255</v>
      </c>
      <c r="AA142" s="9">
        <v>800.0</v>
      </c>
      <c r="AB142" s="9" t="s">
        <v>104</v>
      </c>
      <c r="AC142" s="10"/>
      <c r="AD142" s="2"/>
      <c r="AE142" s="2"/>
      <c r="AF142" s="2"/>
      <c r="AG142" s="2"/>
      <c r="AH142" s="2"/>
      <c r="AI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9">
        <v>137.0</v>
      </c>
      <c r="Z143" s="9" t="s">
        <v>256</v>
      </c>
      <c r="AA143" s="9">
        <v>500.0</v>
      </c>
      <c r="AB143" s="9" t="s">
        <v>104</v>
      </c>
      <c r="AC143" s="10"/>
      <c r="AD143" s="2"/>
      <c r="AE143" s="2"/>
      <c r="AF143" s="2"/>
      <c r="AG143" s="2"/>
      <c r="AH143" s="2"/>
      <c r="AI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9">
        <v>138.0</v>
      </c>
      <c r="Z144" s="9" t="s">
        <v>257</v>
      </c>
      <c r="AA144" s="9">
        <v>800.0</v>
      </c>
      <c r="AB144" s="9" t="s">
        <v>104</v>
      </c>
      <c r="AC144" s="10"/>
      <c r="AD144" s="2"/>
      <c r="AE144" s="2"/>
      <c r="AF144" s="2"/>
      <c r="AG144" s="2"/>
      <c r="AH144" s="2"/>
      <c r="AI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9">
        <v>139.0</v>
      </c>
      <c r="Z145" s="9" t="s">
        <v>258</v>
      </c>
      <c r="AA145" s="9">
        <v>2000.0</v>
      </c>
      <c r="AB145" s="9" t="s">
        <v>104</v>
      </c>
      <c r="AC145" s="10"/>
      <c r="AD145" s="2"/>
      <c r="AE145" s="2"/>
      <c r="AF145" s="2"/>
      <c r="AG145" s="2"/>
      <c r="AH145" s="2"/>
      <c r="AI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9">
        <v>140.0</v>
      </c>
      <c r="Z146" s="9" t="s">
        <v>259</v>
      </c>
      <c r="AA146" s="9">
        <v>2500.0</v>
      </c>
      <c r="AB146" s="9" t="s">
        <v>104</v>
      </c>
      <c r="AC146" s="10"/>
      <c r="AD146" s="2"/>
      <c r="AE146" s="2"/>
      <c r="AF146" s="2"/>
      <c r="AG146" s="2"/>
      <c r="AH146" s="2"/>
      <c r="AI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9">
        <v>141.0</v>
      </c>
      <c r="Z147" s="9" t="s">
        <v>260</v>
      </c>
      <c r="AA147" s="9">
        <v>300.0</v>
      </c>
      <c r="AB147" s="9" t="s">
        <v>104</v>
      </c>
      <c r="AC147" s="10"/>
      <c r="AD147" s="2"/>
      <c r="AE147" s="2"/>
      <c r="AF147" s="2"/>
      <c r="AG147" s="2"/>
      <c r="AH147" s="2"/>
      <c r="AI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9">
        <v>142.0</v>
      </c>
      <c r="Z148" s="9" t="s">
        <v>261</v>
      </c>
      <c r="AA148" s="9">
        <v>700.0</v>
      </c>
      <c r="AB148" s="9" t="s">
        <v>104</v>
      </c>
      <c r="AC148" s="10"/>
      <c r="AD148" s="2"/>
      <c r="AE148" s="2"/>
      <c r="AF148" s="2"/>
      <c r="AG148" s="2"/>
      <c r="AH148" s="2"/>
      <c r="AI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9">
        <v>143.0</v>
      </c>
      <c r="Z149" s="9" t="s">
        <v>262</v>
      </c>
      <c r="AA149" s="9">
        <v>300.0</v>
      </c>
      <c r="AB149" s="9" t="s">
        <v>104</v>
      </c>
      <c r="AC149" s="10"/>
      <c r="AD149" s="2"/>
      <c r="AE149" s="2"/>
      <c r="AF149" s="2"/>
      <c r="AG149" s="2"/>
      <c r="AH149" s="2"/>
      <c r="AI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9">
        <v>144.0</v>
      </c>
      <c r="Z150" s="9" t="s">
        <v>263</v>
      </c>
      <c r="AA150" s="9">
        <v>200.0</v>
      </c>
      <c r="AB150" s="9" t="s">
        <v>104</v>
      </c>
      <c r="AC150" s="10"/>
      <c r="AD150" s="2"/>
      <c r="AE150" s="2"/>
      <c r="AF150" s="2"/>
      <c r="AG150" s="2"/>
      <c r="AH150" s="2"/>
      <c r="AI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9">
        <v>145.0</v>
      </c>
      <c r="Z151" s="9" t="s">
        <v>264</v>
      </c>
      <c r="AA151" s="9">
        <v>250.0</v>
      </c>
      <c r="AB151" s="9" t="s">
        <v>104</v>
      </c>
      <c r="AC151" s="10"/>
      <c r="AD151" s="2"/>
      <c r="AE151" s="2"/>
      <c r="AF151" s="2"/>
      <c r="AG151" s="2"/>
      <c r="AH151" s="2"/>
      <c r="AI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9">
        <v>146.0</v>
      </c>
      <c r="Z152" s="9" t="s">
        <v>265</v>
      </c>
      <c r="AA152" s="9">
        <v>350.0</v>
      </c>
      <c r="AB152" s="9" t="s">
        <v>104</v>
      </c>
      <c r="AC152" s="10"/>
      <c r="AD152" s="2"/>
      <c r="AE152" s="2"/>
      <c r="AF152" s="2"/>
      <c r="AG152" s="2"/>
      <c r="AH152" s="2"/>
      <c r="AI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9">
        <v>147.0</v>
      </c>
      <c r="Z153" s="9" t="s">
        <v>266</v>
      </c>
      <c r="AA153" s="9">
        <v>2000.0</v>
      </c>
      <c r="AB153" s="9" t="s">
        <v>104</v>
      </c>
      <c r="AC153" s="10"/>
      <c r="AD153" s="2"/>
      <c r="AE153" s="2"/>
      <c r="AF153" s="2"/>
      <c r="AG153" s="2"/>
      <c r="AH153" s="2"/>
      <c r="AI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9">
        <v>148.0</v>
      </c>
      <c r="Z154" s="9" t="s">
        <v>267</v>
      </c>
      <c r="AA154" s="9">
        <v>2500.0</v>
      </c>
      <c r="AB154" s="9" t="s">
        <v>104</v>
      </c>
      <c r="AC154" s="10"/>
      <c r="AD154" s="2"/>
      <c r="AE154" s="2"/>
      <c r="AF154" s="2"/>
      <c r="AG154" s="2"/>
      <c r="AH154" s="2"/>
      <c r="AI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9">
        <v>149.0</v>
      </c>
      <c r="Z155" s="9" t="s">
        <v>268</v>
      </c>
      <c r="AA155" s="9">
        <v>200.0</v>
      </c>
      <c r="AB155" s="9" t="s">
        <v>104</v>
      </c>
      <c r="AC155" s="10"/>
      <c r="AD155" s="2"/>
      <c r="AE155" s="2"/>
      <c r="AF155" s="2"/>
      <c r="AG155" s="2"/>
      <c r="AH155" s="2"/>
      <c r="AI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9">
        <v>150.0</v>
      </c>
      <c r="Z156" s="9" t="s">
        <v>269</v>
      </c>
      <c r="AA156" s="9">
        <v>1500.0</v>
      </c>
      <c r="AB156" s="9" t="s">
        <v>104</v>
      </c>
      <c r="AC156" s="10"/>
      <c r="AD156" s="2"/>
      <c r="AE156" s="2"/>
      <c r="AF156" s="2"/>
      <c r="AG156" s="2"/>
      <c r="AH156" s="2"/>
      <c r="AI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9">
        <v>151.0</v>
      </c>
      <c r="Z157" s="9" t="s">
        <v>270</v>
      </c>
      <c r="AA157" s="9">
        <v>3000.0</v>
      </c>
      <c r="AB157" s="9" t="s">
        <v>104</v>
      </c>
      <c r="AC157" s="10"/>
      <c r="AD157" s="2"/>
      <c r="AE157" s="2"/>
      <c r="AF157" s="2"/>
      <c r="AG157" s="2"/>
      <c r="AH157" s="2"/>
      <c r="AI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9">
        <v>152.0</v>
      </c>
      <c r="Z158" s="9" t="s">
        <v>271</v>
      </c>
      <c r="AA158" s="9">
        <v>3500.0</v>
      </c>
      <c r="AB158" s="9" t="s">
        <v>104</v>
      </c>
      <c r="AC158" s="10"/>
      <c r="AD158" s="2"/>
      <c r="AE158" s="2"/>
      <c r="AF158" s="2"/>
      <c r="AG158" s="2"/>
      <c r="AH158" s="2"/>
      <c r="AI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9">
        <v>153.0</v>
      </c>
      <c r="Z159" s="9" t="s">
        <v>272</v>
      </c>
      <c r="AA159" s="9">
        <v>1500.0</v>
      </c>
      <c r="AB159" s="9" t="s">
        <v>104</v>
      </c>
      <c r="AC159" s="10"/>
      <c r="AD159" s="2"/>
      <c r="AE159" s="2"/>
      <c r="AF159" s="2"/>
      <c r="AG159" s="2"/>
      <c r="AH159" s="2"/>
      <c r="AI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9">
        <v>154.0</v>
      </c>
      <c r="Z160" s="9" t="s">
        <v>273</v>
      </c>
      <c r="AA160" s="9">
        <v>700.0</v>
      </c>
      <c r="AB160" s="9" t="s">
        <v>104</v>
      </c>
      <c r="AC160" s="10"/>
      <c r="AD160" s="2"/>
      <c r="AE160" s="2"/>
      <c r="AF160" s="2"/>
      <c r="AG160" s="2"/>
      <c r="AH160" s="2"/>
      <c r="AI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9">
        <v>155.0</v>
      </c>
      <c r="Z161" s="9" t="s">
        <v>274</v>
      </c>
      <c r="AA161" s="9">
        <v>500.0</v>
      </c>
      <c r="AB161" s="9" t="s">
        <v>104</v>
      </c>
      <c r="AC161" s="10"/>
      <c r="AD161" s="2"/>
      <c r="AE161" s="2"/>
      <c r="AF161" s="2"/>
      <c r="AG161" s="2"/>
      <c r="AH161" s="2"/>
      <c r="AI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9">
        <v>156.0</v>
      </c>
      <c r="Z162" s="9" t="s">
        <v>275</v>
      </c>
      <c r="AA162" s="9">
        <v>700.0</v>
      </c>
      <c r="AB162" s="9" t="s">
        <v>104</v>
      </c>
      <c r="AC162" s="10"/>
      <c r="AD162" s="2"/>
      <c r="AE162" s="2"/>
      <c r="AF162" s="2"/>
      <c r="AG162" s="2"/>
      <c r="AH162" s="2"/>
      <c r="AI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9">
        <v>157.0</v>
      </c>
      <c r="Z163" s="9" t="s">
        <v>276</v>
      </c>
      <c r="AA163" s="9">
        <v>2000.0</v>
      </c>
      <c r="AB163" s="9" t="s">
        <v>104</v>
      </c>
      <c r="AC163" s="10"/>
      <c r="AD163" s="2"/>
      <c r="AE163" s="2"/>
      <c r="AF163" s="2"/>
      <c r="AG163" s="2"/>
      <c r="AH163" s="2"/>
      <c r="AI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9">
        <v>158.0</v>
      </c>
      <c r="Z164" s="9" t="s">
        <v>277</v>
      </c>
      <c r="AA164" s="9">
        <v>1200.0</v>
      </c>
      <c r="AB164" s="9" t="s">
        <v>47</v>
      </c>
      <c r="AC164" s="10"/>
      <c r="AD164" s="2"/>
      <c r="AE164" s="2"/>
      <c r="AF164" s="2"/>
      <c r="AG164" s="2"/>
      <c r="AH164" s="2"/>
      <c r="AI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9">
        <v>159.0</v>
      </c>
      <c r="Z165" s="9" t="s">
        <v>278</v>
      </c>
      <c r="AA165" s="9">
        <v>1200.0</v>
      </c>
      <c r="AB165" s="9" t="s">
        <v>47</v>
      </c>
      <c r="AC165" s="10"/>
      <c r="AD165" s="2"/>
      <c r="AE165" s="2"/>
      <c r="AF165" s="2"/>
      <c r="AG165" s="2"/>
      <c r="AH165" s="2"/>
      <c r="AI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9">
        <v>160.0</v>
      </c>
      <c r="Z166" s="9" t="s">
        <v>279</v>
      </c>
      <c r="AA166" s="9">
        <v>2000.0</v>
      </c>
      <c r="AB166" s="9" t="s">
        <v>47</v>
      </c>
      <c r="AC166" s="10"/>
      <c r="AD166" s="2"/>
      <c r="AE166" s="2"/>
      <c r="AF166" s="2"/>
      <c r="AG166" s="2"/>
      <c r="AH166" s="2"/>
      <c r="AI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9">
        <v>161.0</v>
      </c>
      <c r="Z167" s="9" t="s">
        <v>280</v>
      </c>
      <c r="AA167" s="9">
        <v>3000.0</v>
      </c>
      <c r="AB167" s="9" t="s">
        <v>47</v>
      </c>
      <c r="AC167" s="10"/>
      <c r="AD167" s="2"/>
      <c r="AE167" s="2"/>
      <c r="AF167" s="2"/>
      <c r="AG167" s="2"/>
      <c r="AH167" s="2"/>
      <c r="AI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9">
        <v>162.0</v>
      </c>
      <c r="Z168" s="9" t="s">
        <v>281</v>
      </c>
      <c r="AA168" s="9">
        <v>1900.0</v>
      </c>
      <c r="AB168" s="9" t="s">
        <v>47</v>
      </c>
      <c r="AC168" s="10"/>
      <c r="AD168" s="2"/>
      <c r="AE168" s="2"/>
      <c r="AF168" s="2"/>
      <c r="AG168" s="2"/>
      <c r="AH168" s="2"/>
      <c r="AI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9">
        <v>163.0</v>
      </c>
      <c r="Z169" s="9" t="s">
        <v>282</v>
      </c>
      <c r="AA169" s="9">
        <v>500.0</v>
      </c>
      <c r="AB169" s="9" t="s">
        <v>47</v>
      </c>
      <c r="AC169" s="10"/>
      <c r="AD169" s="2"/>
      <c r="AE169" s="2"/>
      <c r="AF169" s="2"/>
      <c r="AG169" s="2"/>
      <c r="AH169" s="2"/>
      <c r="AI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9">
        <v>164.0</v>
      </c>
      <c r="Z170" s="47" t="s">
        <v>283</v>
      </c>
      <c r="AA170" s="47">
        <v>35280.0</v>
      </c>
      <c r="AB170" s="47" t="s">
        <v>284</v>
      </c>
      <c r="AC170" s="48"/>
      <c r="AD170" s="2"/>
      <c r="AE170" s="2"/>
      <c r="AF170" s="2"/>
      <c r="AG170" s="2"/>
      <c r="AH170" s="2"/>
      <c r="AI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9">
        <v>165.0</v>
      </c>
      <c r="Z171" s="47" t="s">
        <v>285</v>
      </c>
      <c r="AA171" s="9">
        <v>48720.0</v>
      </c>
      <c r="AB171" s="47" t="s">
        <v>284</v>
      </c>
      <c r="AC171" s="10"/>
      <c r="AD171" s="2"/>
      <c r="AE171" s="2"/>
      <c r="AF171" s="2"/>
      <c r="AG171" s="2"/>
      <c r="AH171" s="2"/>
      <c r="AI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9">
        <v>166.0</v>
      </c>
      <c r="Z172" s="47" t="s">
        <v>286</v>
      </c>
      <c r="AA172" s="9">
        <v>64480.0</v>
      </c>
      <c r="AB172" s="47" t="s">
        <v>284</v>
      </c>
      <c r="AC172" s="10"/>
      <c r="AD172" s="2"/>
      <c r="AE172" s="2"/>
      <c r="AF172" s="2"/>
      <c r="AG172" s="2"/>
      <c r="AH172" s="2"/>
      <c r="AI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9">
        <v>167.0</v>
      </c>
      <c r="Z173" s="9" t="s">
        <v>287</v>
      </c>
      <c r="AA173" s="9">
        <v>100000.0</v>
      </c>
      <c r="AB173" s="9" t="s">
        <v>288</v>
      </c>
      <c r="AC173" s="10"/>
      <c r="AD173" s="2"/>
      <c r="AE173" s="2"/>
      <c r="AF173" s="2"/>
      <c r="AG173" s="2"/>
      <c r="AH173" s="2"/>
      <c r="AI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9">
        <v>168.0</v>
      </c>
      <c r="Z174" s="9" t="s">
        <v>289</v>
      </c>
      <c r="AA174" s="9">
        <v>50000.0</v>
      </c>
      <c r="AB174" s="9" t="s">
        <v>288</v>
      </c>
      <c r="AC174" s="10"/>
      <c r="AD174" s="2"/>
      <c r="AE174" s="2"/>
      <c r="AF174" s="2"/>
      <c r="AG174" s="2"/>
      <c r="AH174" s="2"/>
      <c r="AI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9">
        <v>169.0</v>
      </c>
      <c r="Z175" s="9" t="s">
        <v>290</v>
      </c>
      <c r="AA175" s="9">
        <v>4200.0</v>
      </c>
      <c r="AB175" s="47" t="s">
        <v>110</v>
      </c>
      <c r="AC175" s="10"/>
      <c r="AD175" s="2"/>
      <c r="AE175" s="2"/>
      <c r="AF175" s="2"/>
      <c r="AG175" s="2"/>
      <c r="AH175" s="2"/>
      <c r="AI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9">
        <v>170.0</v>
      </c>
      <c r="Z176" s="9" t="s">
        <v>291</v>
      </c>
      <c r="AA176" s="9">
        <v>5800.0</v>
      </c>
      <c r="AB176" s="47" t="s">
        <v>110</v>
      </c>
      <c r="AC176" s="10"/>
      <c r="AD176" s="2"/>
      <c r="AE176" s="2"/>
      <c r="AF176" s="2"/>
      <c r="AG176" s="2"/>
      <c r="AH176" s="2"/>
      <c r="AI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9">
        <v>171.0</v>
      </c>
      <c r="Z177" s="9" t="s">
        <v>292</v>
      </c>
      <c r="AA177" s="9">
        <v>7200.0</v>
      </c>
      <c r="AB177" s="47" t="s">
        <v>110</v>
      </c>
      <c r="AC177" s="10"/>
      <c r="AD177" s="2"/>
      <c r="AE177" s="2"/>
      <c r="AF177" s="2"/>
      <c r="AG177" s="2"/>
      <c r="AH177" s="2"/>
      <c r="AI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9">
        <v>172.0</v>
      </c>
      <c r="Z178" s="9" t="s">
        <v>293</v>
      </c>
      <c r="AA178" s="9">
        <v>1000.0</v>
      </c>
      <c r="AB178" s="47" t="s">
        <v>294</v>
      </c>
      <c r="AC178" s="10"/>
      <c r="AD178" s="2"/>
      <c r="AE178" s="2"/>
      <c r="AF178" s="2"/>
      <c r="AG178" s="2"/>
      <c r="AH178" s="2"/>
      <c r="AI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9">
        <v>173.0</v>
      </c>
      <c r="Z179" s="9" t="s">
        <v>295</v>
      </c>
      <c r="AA179" s="9">
        <v>2000.0</v>
      </c>
      <c r="AB179" s="47" t="s">
        <v>294</v>
      </c>
      <c r="AC179" s="10"/>
      <c r="AD179" s="2"/>
      <c r="AE179" s="2"/>
      <c r="AF179" s="2"/>
      <c r="AG179" s="2"/>
      <c r="AH179" s="2"/>
      <c r="AI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9">
        <v>174.0</v>
      </c>
      <c r="Z180" s="9" t="s">
        <v>296</v>
      </c>
      <c r="AA180" s="9">
        <v>2500.0</v>
      </c>
      <c r="AB180" s="47" t="s">
        <v>294</v>
      </c>
      <c r="AC180" s="10"/>
      <c r="AD180" s="2"/>
      <c r="AE180" s="2"/>
      <c r="AF180" s="2"/>
      <c r="AG180" s="2"/>
      <c r="AH180" s="2"/>
      <c r="AI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9">
        <v>175.0</v>
      </c>
      <c r="Z181" s="9" t="s">
        <v>297</v>
      </c>
      <c r="AA181" s="9">
        <v>5000.0</v>
      </c>
      <c r="AB181" s="47" t="s">
        <v>294</v>
      </c>
      <c r="AC181" s="10"/>
      <c r="AD181" s="2"/>
      <c r="AE181" s="2"/>
      <c r="AF181" s="2"/>
      <c r="AG181" s="2"/>
      <c r="AH181" s="2"/>
      <c r="AI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9">
        <v>176.0</v>
      </c>
      <c r="Z182" s="9" t="s">
        <v>298</v>
      </c>
      <c r="AA182" s="9">
        <v>10000.0</v>
      </c>
      <c r="AB182" s="47" t="s">
        <v>294</v>
      </c>
      <c r="AC182" s="10"/>
      <c r="AD182" s="2"/>
      <c r="AE182" s="2"/>
      <c r="AF182" s="2"/>
      <c r="AG182" s="2"/>
      <c r="AH182" s="2"/>
      <c r="AI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9">
        <v>177.0</v>
      </c>
      <c r="Z183" s="9" t="s">
        <v>299</v>
      </c>
      <c r="AA183" s="9">
        <v>6666.0</v>
      </c>
      <c r="AB183" s="9" t="s">
        <v>300</v>
      </c>
      <c r="AC183" s="10"/>
      <c r="AD183" s="2"/>
      <c r="AE183" s="2"/>
      <c r="AF183" s="2"/>
      <c r="AG183" s="2"/>
      <c r="AH183" s="2"/>
      <c r="AI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9">
        <v>178.0</v>
      </c>
      <c r="Z184" s="44" t="s">
        <v>301</v>
      </c>
      <c r="AA184" s="45">
        <v>6400.0</v>
      </c>
      <c r="AB184" s="44" t="s">
        <v>47</v>
      </c>
      <c r="AC184" s="45">
        <v>90.0</v>
      </c>
      <c r="AD184" s="2"/>
      <c r="AE184" s="2"/>
      <c r="AF184" s="2"/>
      <c r="AG184" s="2"/>
      <c r="AH184" s="2"/>
      <c r="AI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9">
        <v>179.0</v>
      </c>
      <c r="Z185" s="44" t="s">
        <v>302</v>
      </c>
      <c r="AA185" s="45">
        <v>8000.0</v>
      </c>
      <c r="AB185" s="44" t="s">
        <v>47</v>
      </c>
      <c r="AC185" s="45">
        <v>120.0</v>
      </c>
      <c r="AD185" s="2"/>
      <c r="AE185" s="2"/>
      <c r="AF185" s="2"/>
      <c r="AG185" s="2"/>
      <c r="AH185" s="2"/>
      <c r="AI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9">
        <v>180.0</v>
      </c>
      <c r="Z186" s="44" t="s">
        <v>303</v>
      </c>
      <c r="AA186" s="45">
        <v>8999.0</v>
      </c>
      <c r="AB186" s="47" t="s">
        <v>304</v>
      </c>
      <c r="AC186" s="49"/>
      <c r="AD186" s="2"/>
      <c r="AE186" s="2"/>
      <c r="AF186" s="2"/>
      <c r="AG186" s="2"/>
      <c r="AH186" s="2"/>
      <c r="AI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9">
        <v>181.0</v>
      </c>
      <c r="Z187" s="44" t="s">
        <v>305</v>
      </c>
      <c r="AA187" s="45">
        <v>16499.0</v>
      </c>
      <c r="AB187" s="47" t="s">
        <v>304</v>
      </c>
      <c r="AC187" s="49"/>
      <c r="AD187" s="2"/>
      <c r="AE187" s="2"/>
      <c r="AF187" s="2"/>
      <c r="AG187" s="2"/>
      <c r="AH187" s="2"/>
      <c r="AI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9">
        <v>182.0</v>
      </c>
      <c r="Z188" s="44" t="s">
        <v>306</v>
      </c>
      <c r="AA188" s="45">
        <v>8499.0</v>
      </c>
      <c r="AB188" s="47" t="s">
        <v>304</v>
      </c>
      <c r="AC188" s="49"/>
      <c r="AD188" s="2"/>
      <c r="AE188" s="2"/>
      <c r="AF188" s="2"/>
      <c r="AG188" s="2"/>
      <c r="AH188" s="2"/>
      <c r="AI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9">
        <v>183.0</v>
      </c>
      <c r="Z189" s="44" t="s">
        <v>307</v>
      </c>
      <c r="AA189" s="45">
        <v>1000.0</v>
      </c>
      <c r="AB189" s="44" t="s">
        <v>307</v>
      </c>
      <c r="AC189" s="49"/>
      <c r="AD189" s="2"/>
      <c r="AE189" s="2"/>
      <c r="AF189" s="2"/>
      <c r="AG189" s="2"/>
      <c r="AH189" s="2"/>
      <c r="AI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9">
        <v>184.0</v>
      </c>
      <c r="Z190" s="44" t="s">
        <v>308</v>
      </c>
      <c r="AA190" s="45">
        <v>2500.0</v>
      </c>
      <c r="AB190" s="44" t="s">
        <v>145</v>
      </c>
      <c r="AC190" s="45">
        <v>60.0</v>
      </c>
      <c r="AD190" s="2"/>
      <c r="AE190" s="2"/>
      <c r="AF190" s="2"/>
      <c r="AG190" s="2"/>
      <c r="AH190" s="2"/>
      <c r="AI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9">
        <v>185.0</v>
      </c>
      <c r="Z191" s="44" t="s">
        <v>309</v>
      </c>
      <c r="AA191" s="45">
        <v>3000.0</v>
      </c>
      <c r="AB191" s="44" t="s">
        <v>310</v>
      </c>
      <c r="AC191" s="45"/>
      <c r="AD191" s="2"/>
      <c r="AE191" s="2"/>
      <c r="AF191" s="2"/>
      <c r="AG191" s="2"/>
      <c r="AH191" s="2"/>
      <c r="AI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9">
        <v>186.0</v>
      </c>
      <c r="Z192" s="44" t="s">
        <v>311</v>
      </c>
      <c r="AA192" s="45">
        <v>5999.0</v>
      </c>
      <c r="AB192" s="44" t="s">
        <v>312</v>
      </c>
      <c r="AC192" s="45"/>
      <c r="AD192" s="2"/>
      <c r="AE192" s="2"/>
      <c r="AF192" s="2"/>
      <c r="AG192" s="2"/>
      <c r="AH192" s="2"/>
      <c r="AI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9">
        <v>187.0</v>
      </c>
      <c r="Z193" s="44" t="s">
        <v>313</v>
      </c>
      <c r="AA193" s="45">
        <v>10000.0</v>
      </c>
      <c r="AB193" s="44" t="s">
        <v>313</v>
      </c>
      <c r="AC193" s="45"/>
      <c r="AD193" s="2"/>
      <c r="AE193" s="2"/>
      <c r="AF193" s="2"/>
      <c r="AG193" s="2"/>
      <c r="AH193" s="2"/>
      <c r="AI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9">
        <v>188.0</v>
      </c>
      <c r="Z194" s="44" t="s">
        <v>314</v>
      </c>
      <c r="AA194" s="45">
        <v>500.0</v>
      </c>
      <c r="AB194" s="44" t="s">
        <v>315</v>
      </c>
      <c r="AC194" s="45"/>
      <c r="AD194" s="2"/>
      <c r="AE194" s="2"/>
      <c r="AF194" s="2"/>
      <c r="AG194" s="2"/>
      <c r="AH194" s="2"/>
      <c r="AI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9">
        <v>189.0</v>
      </c>
      <c r="Z195" s="44" t="s">
        <v>316</v>
      </c>
      <c r="AA195" s="45">
        <v>6666.0</v>
      </c>
      <c r="AB195" s="44" t="s">
        <v>316</v>
      </c>
      <c r="AC195" s="45"/>
      <c r="AD195" s="2"/>
      <c r="AE195" s="2"/>
      <c r="AF195" s="2"/>
      <c r="AG195" s="2"/>
      <c r="AH195" s="2"/>
      <c r="AI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9">
        <v>190.0</v>
      </c>
      <c r="Z196" s="44" t="s">
        <v>317</v>
      </c>
      <c r="AA196" s="45">
        <v>500.0</v>
      </c>
      <c r="AB196" s="44" t="s">
        <v>318</v>
      </c>
      <c r="AC196" s="45"/>
      <c r="AD196" s="2"/>
      <c r="AE196" s="2"/>
      <c r="AF196" s="2"/>
      <c r="AG196" s="2"/>
      <c r="AH196" s="2"/>
      <c r="AI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9">
        <v>191.0</v>
      </c>
      <c r="Z197" s="44" t="s">
        <v>319</v>
      </c>
      <c r="AA197" s="45">
        <v>8000.0</v>
      </c>
      <c r="AB197" s="44" t="s">
        <v>145</v>
      </c>
      <c r="AC197" s="45"/>
      <c r="AD197" s="2"/>
      <c r="AE197" s="2"/>
      <c r="AF197" s="2"/>
      <c r="AG197" s="2"/>
      <c r="AH197" s="2"/>
      <c r="AI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9">
        <v>192.0</v>
      </c>
      <c r="Z198" s="44" t="s">
        <v>320</v>
      </c>
      <c r="AA198" s="45">
        <v>200.0</v>
      </c>
      <c r="AB198" s="44" t="s">
        <v>47</v>
      </c>
      <c r="AC198" s="45"/>
      <c r="AD198" s="2"/>
      <c r="AE198" s="2"/>
      <c r="AF198" s="2"/>
      <c r="AG198" s="2"/>
      <c r="AH198" s="2"/>
      <c r="AI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9">
        <v>193.0</v>
      </c>
      <c r="Z199" s="44" t="s">
        <v>321</v>
      </c>
      <c r="AA199" s="45">
        <v>3499.0</v>
      </c>
      <c r="AB199" s="44" t="s">
        <v>304</v>
      </c>
      <c r="AC199" s="45"/>
      <c r="AD199" s="2"/>
      <c r="AE199" s="2"/>
      <c r="AF199" s="2"/>
      <c r="AG199" s="2"/>
      <c r="AH199" s="2"/>
      <c r="AI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9">
        <v>194.0</v>
      </c>
      <c r="Z200" s="44" t="s">
        <v>322</v>
      </c>
      <c r="AA200" s="45">
        <v>4499.0</v>
      </c>
      <c r="AB200" s="44" t="s">
        <v>304</v>
      </c>
      <c r="AC200" s="45"/>
      <c r="AD200" s="2"/>
      <c r="AE200" s="2"/>
      <c r="AF200" s="2"/>
      <c r="AG200" s="2"/>
      <c r="AH200" s="2"/>
      <c r="AI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9">
        <v>195.0</v>
      </c>
      <c r="Z201" s="44" t="s">
        <v>323</v>
      </c>
      <c r="AA201" s="45">
        <v>11999.0</v>
      </c>
      <c r="AB201" s="44" t="s">
        <v>130</v>
      </c>
      <c r="AC201" s="45"/>
      <c r="AD201" s="2"/>
      <c r="AE201" s="2"/>
      <c r="AF201" s="2"/>
      <c r="AG201" s="2"/>
      <c r="AH201" s="2"/>
      <c r="AI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45">
        <v>196.0</v>
      </c>
      <c r="Z202" s="44" t="s">
        <v>324</v>
      </c>
      <c r="AA202" s="45">
        <v>5000.0</v>
      </c>
      <c r="AB202" s="44" t="s">
        <v>47</v>
      </c>
      <c r="AC202" s="46"/>
      <c r="AD202" s="2"/>
      <c r="AE202" s="2"/>
      <c r="AF202" s="2"/>
      <c r="AG202" s="2"/>
      <c r="AH202" s="2"/>
      <c r="AI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45">
        <v>197.0</v>
      </c>
      <c r="Z203" s="44" t="s">
        <v>325</v>
      </c>
      <c r="AA203" s="45">
        <v>6500.0</v>
      </c>
      <c r="AB203" s="44" t="s">
        <v>47</v>
      </c>
      <c r="AC203" s="50"/>
      <c r="AD203" s="2"/>
      <c r="AE203" s="2"/>
      <c r="AF203" s="2"/>
      <c r="AG203" s="2"/>
      <c r="AH203" s="2"/>
      <c r="AI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51">
        <v>198.0</v>
      </c>
      <c r="Z204" s="34" t="s">
        <v>326</v>
      </c>
      <c r="AA204" s="51">
        <v>8000.0</v>
      </c>
      <c r="AB204" s="34" t="s">
        <v>47</v>
      </c>
      <c r="AC204" s="50"/>
      <c r="AD204" s="2"/>
      <c r="AE204" s="2"/>
      <c r="AF204" s="2"/>
      <c r="AG204" s="2"/>
      <c r="AH204" s="2"/>
      <c r="AI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51">
        <v>199.0</v>
      </c>
      <c r="Z205" s="34" t="s">
        <v>327</v>
      </c>
      <c r="AA205" s="51">
        <v>8000.0</v>
      </c>
      <c r="AB205" s="34" t="s">
        <v>145</v>
      </c>
      <c r="AC205" s="50"/>
      <c r="AD205" s="2"/>
      <c r="AE205" s="2"/>
      <c r="AF205" s="2"/>
      <c r="AG205" s="2"/>
      <c r="AH205" s="2"/>
      <c r="AI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51">
        <v>200.0</v>
      </c>
      <c r="Z206" s="34" t="s">
        <v>328</v>
      </c>
      <c r="AA206" s="51">
        <v>4500.0</v>
      </c>
      <c r="AB206" s="34" t="s">
        <v>145</v>
      </c>
      <c r="AC206" s="50"/>
      <c r="AD206" s="2"/>
      <c r="AE206" s="2"/>
      <c r="AF206" s="2"/>
      <c r="AG206" s="2"/>
      <c r="AH206" s="2"/>
      <c r="AI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51">
        <v>201.0</v>
      </c>
      <c r="Z207" s="34" t="s">
        <v>329</v>
      </c>
      <c r="AA207" s="51">
        <v>4000.0</v>
      </c>
      <c r="AB207" s="34" t="s">
        <v>145</v>
      </c>
      <c r="AC207" s="50"/>
      <c r="AD207" s="2"/>
      <c r="AE207" s="2"/>
      <c r="AF207" s="2"/>
      <c r="AG207" s="2"/>
      <c r="AH207" s="2"/>
      <c r="AI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51">
        <v>202.0</v>
      </c>
      <c r="Z208" s="34" t="s">
        <v>330</v>
      </c>
      <c r="AA208" s="51">
        <v>3500.0</v>
      </c>
      <c r="AB208" s="34" t="s">
        <v>145</v>
      </c>
      <c r="AC208" s="50"/>
      <c r="AD208" s="2"/>
      <c r="AE208" s="2"/>
      <c r="AF208" s="2"/>
      <c r="AG208" s="2"/>
      <c r="AH208" s="2"/>
      <c r="AI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51">
        <v>203.0</v>
      </c>
      <c r="Z209" s="34" t="s">
        <v>331</v>
      </c>
      <c r="AA209" s="51">
        <v>3000.0</v>
      </c>
      <c r="AB209" s="34" t="s">
        <v>145</v>
      </c>
      <c r="AC209" s="50"/>
      <c r="AD209" s="2"/>
      <c r="AE209" s="2"/>
      <c r="AF209" s="2"/>
      <c r="AG209" s="2"/>
      <c r="AH209" s="2"/>
      <c r="AI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51">
        <v>204.0</v>
      </c>
      <c r="Z210" s="34" t="s">
        <v>332</v>
      </c>
      <c r="AA210" s="51">
        <v>3000.0</v>
      </c>
      <c r="AB210" s="34" t="s">
        <v>145</v>
      </c>
      <c r="AC210" s="50"/>
      <c r="AD210" s="2"/>
      <c r="AE210" s="2"/>
      <c r="AF210" s="2"/>
      <c r="AG210" s="2"/>
      <c r="AH210" s="2"/>
      <c r="AI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51">
        <v>205.0</v>
      </c>
      <c r="Z211" s="34" t="s">
        <v>333</v>
      </c>
      <c r="AA211" s="51">
        <v>3000.0</v>
      </c>
      <c r="AB211" s="34" t="s">
        <v>145</v>
      </c>
      <c r="AC211" s="50"/>
      <c r="AD211" s="2"/>
      <c r="AE211" s="2"/>
      <c r="AF211" s="2"/>
      <c r="AG211" s="2"/>
      <c r="AH211" s="2"/>
      <c r="AI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51">
        <v>206.0</v>
      </c>
      <c r="Z212" s="34" t="s">
        <v>334</v>
      </c>
      <c r="AA212" s="51">
        <v>4000.0</v>
      </c>
      <c r="AB212" s="34" t="s">
        <v>145</v>
      </c>
      <c r="AC212" s="50"/>
      <c r="AD212" s="2"/>
      <c r="AE212" s="2"/>
      <c r="AF212" s="2"/>
      <c r="AG212" s="2"/>
      <c r="AH212" s="2"/>
      <c r="AI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51">
        <v>207.0</v>
      </c>
      <c r="Z213" s="34" t="s">
        <v>335</v>
      </c>
      <c r="AA213" s="51">
        <v>4500.0</v>
      </c>
      <c r="AB213" s="34" t="s">
        <v>145</v>
      </c>
      <c r="AC213" s="50"/>
      <c r="AD213" s="2"/>
      <c r="AE213" s="2"/>
      <c r="AF213" s="2"/>
      <c r="AG213" s="2"/>
      <c r="AH213" s="2"/>
      <c r="AI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51">
        <v>208.0</v>
      </c>
      <c r="Z214" s="34" t="s">
        <v>336</v>
      </c>
      <c r="AA214" s="51">
        <v>2000.0</v>
      </c>
      <c r="AB214" s="34" t="s">
        <v>145</v>
      </c>
      <c r="AC214" s="50"/>
      <c r="AD214" s="2"/>
      <c r="AE214" s="2"/>
      <c r="AF214" s="2"/>
      <c r="AG214" s="2"/>
      <c r="AH214" s="2"/>
      <c r="AI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51">
        <v>209.0</v>
      </c>
      <c r="Z215" s="34" t="s">
        <v>337</v>
      </c>
      <c r="AA215" s="51">
        <v>2500.0</v>
      </c>
      <c r="AB215" s="34" t="s">
        <v>145</v>
      </c>
      <c r="AC215" s="50"/>
      <c r="AD215" s="2"/>
      <c r="AE215" s="2"/>
      <c r="AF215" s="2"/>
      <c r="AG215" s="2"/>
      <c r="AH215" s="2"/>
      <c r="AI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51">
        <v>210.0</v>
      </c>
      <c r="Z216" s="34" t="s">
        <v>338</v>
      </c>
      <c r="AA216" s="51">
        <v>1000.0</v>
      </c>
      <c r="AB216" s="34" t="s">
        <v>145</v>
      </c>
      <c r="AC216" s="50"/>
      <c r="AD216" s="2"/>
      <c r="AE216" s="2"/>
      <c r="AF216" s="2"/>
      <c r="AG216" s="2"/>
      <c r="AH216" s="2"/>
      <c r="AI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51">
        <v>211.0</v>
      </c>
      <c r="Z217" s="34" t="s">
        <v>339</v>
      </c>
      <c r="AA217" s="51">
        <v>8400.0</v>
      </c>
      <c r="AB217" s="34" t="s">
        <v>130</v>
      </c>
      <c r="AC217" s="50"/>
      <c r="AD217" s="2"/>
      <c r="AE217" s="2"/>
      <c r="AF217" s="2"/>
      <c r="AG217" s="2"/>
      <c r="AH217" s="2"/>
      <c r="AI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52">
        <v>212.0</v>
      </c>
      <c r="Z218" s="35" t="s">
        <v>340</v>
      </c>
      <c r="AA218" s="52">
        <v>10700.0</v>
      </c>
      <c r="AB218" s="35" t="s">
        <v>130</v>
      </c>
      <c r="AC218" s="50"/>
      <c r="AD218" s="2"/>
      <c r="AE218" s="2"/>
      <c r="AF218" s="2"/>
      <c r="AG218" s="2"/>
      <c r="AH218" s="2"/>
      <c r="AI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52">
        <v>213.0</v>
      </c>
      <c r="Z219" s="35" t="s">
        <v>341</v>
      </c>
      <c r="AA219" s="52">
        <v>14999.0</v>
      </c>
      <c r="AB219" s="35" t="s">
        <v>104</v>
      </c>
      <c r="AC219" s="50"/>
      <c r="AD219" s="2"/>
      <c r="AE219" s="2"/>
      <c r="AF219" s="2"/>
      <c r="AG219" s="2"/>
      <c r="AH219" s="2"/>
      <c r="AI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52">
        <v>214.0</v>
      </c>
      <c r="Z220" s="35" t="s">
        <v>342</v>
      </c>
      <c r="AA220" s="52">
        <v>9999.0</v>
      </c>
      <c r="AB220" s="35" t="s">
        <v>104</v>
      </c>
      <c r="AC220" s="50"/>
      <c r="AD220" s="2"/>
      <c r="AE220" s="2"/>
      <c r="AF220" s="2"/>
      <c r="AG220" s="2"/>
      <c r="AH220" s="2"/>
      <c r="AI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</row>
    <row r="1019" ht="15.75" customHeight="1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</row>
    <row r="1020" ht="15.75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</row>
    <row r="1021" ht="15.75" customHeight="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</row>
    <row r="1022" ht="15.75" customHeight="1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</row>
    <row r="1023" ht="15.75" customHeight="1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</row>
  </sheetData>
  <autoFilter ref="$A$6:$T$78"/>
  <mergeCells count="4">
    <mergeCell ref="A1:T1"/>
    <mergeCell ref="J2:K2"/>
    <mergeCell ref="J3:K3"/>
    <mergeCell ref="J4:K4"/>
  </mergeCells>
  <dataValidations>
    <dataValidation type="list" allowBlank="1" showErrorMessage="1" sqref="O7:O77">
      <formula1>'Sales Report'!$AI$7:$AI$20</formula1>
    </dataValidation>
    <dataValidation type="list" allowBlank="1" showErrorMessage="1" sqref="Q7:Q77">
      <formula1>'Sales Report'!$AG$7:$AG$40</formula1>
    </dataValidation>
    <dataValidation type="list" allowBlank="1" showErrorMessage="1" sqref="D7:D77">
      <formula1>$W$7:$W$18</formula1>
    </dataValidation>
    <dataValidation type="list" allowBlank="1" showErrorMessage="1" sqref="N7:N77">
      <formula1>'Sales Report'!$AE$7:$AE$16</formula1>
    </dataValidation>
    <dataValidation type="list" allowBlank="1" showErrorMessage="1" sqref="P7:P77">
      <formula1>Attendance!$B$8:$B$35</formula1>
    </dataValidation>
    <dataValidation type="list" allowBlank="1" showErrorMessage="1" sqref="G7:G77">
      <formula1>$Z$7:$Z$220</formula1>
    </dataValidation>
  </dataValidations>
  <printOptions horizontalCentered="1"/>
  <pageMargins bottom="0.7480314960629921" footer="0.0" header="0.0" left="0.31496062992125984" right="0.31496062992125984" top="0.23230953746675712"/>
  <pageSetup paperSize="9" orientation="landscape"/>
  <rowBreaks count="1" manualBreakCount="1">
    <brk id="86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.43"/>
    <col customWidth="1" min="3" max="3" width="38.86"/>
    <col customWidth="1" min="4" max="13" width="36.71"/>
    <col customWidth="1" min="14" max="26" width="8.71"/>
  </cols>
  <sheetData>
    <row r="1" ht="12.75" customHeight="1">
      <c r="A1" s="53" t="s">
        <v>343</v>
      </c>
    </row>
    <row r="2" ht="12.75" customHeight="1">
      <c r="A2" s="54" t="s">
        <v>16</v>
      </c>
      <c r="B2" s="55">
        <f>'Sales Report'!B4</f>
        <v>46012</v>
      </c>
      <c r="E2" s="54" t="s">
        <v>344</v>
      </c>
    </row>
    <row r="3" ht="12.75" customHeight="1"/>
    <row r="4" ht="16.5" customHeight="1">
      <c r="A4" s="56" t="s">
        <v>345</v>
      </c>
      <c r="B4" s="57"/>
      <c r="C4" s="58" t="s">
        <v>346</v>
      </c>
      <c r="D4" s="59" t="s">
        <v>347</v>
      </c>
      <c r="E4" s="60" t="s">
        <v>348</v>
      </c>
      <c r="F4" s="59" t="s">
        <v>349</v>
      </c>
      <c r="G4" s="59" t="s">
        <v>350</v>
      </c>
      <c r="H4" s="59" t="s">
        <v>351</v>
      </c>
      <c r="I4" s="59" t="s">
        <v>352</v>
      </c>
      <c r="J4" s="59" t="s">
        <v>353</v>
      </c>
      <c r="K4" s="59" t="s">
        <v>354</v>
      </c>
      <c r="L4" s="61" t="s">
        <v>355</v>
      </c>
      <c r="M4" s="59" t="s">
        <v>356</v>
      </c>
    </row>
    <row r="5" ht="21.0" customHeight="1">
      <c r="A5" s="62" t="s">
        <v>357</v>
      </c>
      <c r="B5" s="63">
        <v>0.0</v>
      </c>
      <c r="C5" s="63"/>
      <c r="D5" s="64"/>
      <c r="E5" s="63"/>
      <c r="F5" s="63"/>
      <c r="G5" s="63"/>
      <c r="H5" s="63"/>
      <c r="I5" s="63"/>
      <c r="J5" s="63"/>
      <c r="K5" s="63"/>
      <c r="L5" s="63"/>
      <c r="M5" s="63"/>
    </row>
    <row r="6" ht="19.5" customHeight="1">
      <c r="A6" s="65"/>
      <c r="B6" s="66">
        <v>15.0</v>
      </c>
      <c r="C6" s="67"/>
      <c r="D6" s="68"/>
      <c r="E6" s="69"/>
      <c r="F6" s="66"/>
      <c r="G6" s="66"/>
      <c r="H6" s="66"/>
      <c r="I6" s="66"/>
      <c r="J6" s="66"/>
      <c r="K6" s="66"/>
      <c r="L6" s="66"/>
      <c r="M6" s="66"/>
    </row>
    <row r="7" ht="19.5" customHeight="1">
      <c r="A7" s="65"/>
      <c r="B7" s="66">
        <v>30.0</v>
      </c>
      <c r="C7" s="70"/>
      <c r="D7" s="71"/>
      <c r="E7" s="69"/>
      <c r="F7" s="66"/>
      <c r="G7" s="66"/>
      <c r="H7" s="66"/>
      <c r="I7" s="66"/>
      <c r="J7" s="66"/>
      <c r="K7" s="66"/>
      <c r="L7" s="66"/>
      <c r="M7" s="66"/>
    </row>
    <row r="8" ht="19.5" customHeight="1">
      <c r="A8" s="72"/>
      <c r="B8" s="73">
        <v>45.0</v>
      </c>
      <c r="C8" s="74"/>
      <c r="D8" s="75"/>
      <c r="E8" s="74"/>
      <c r="F8" s="73"/>
      <c r="G8" s="73"/>
      <c r="H8" s="73"/>
      <c r="I8" s="73"/>
      <c r="J8" s="73"/>
      <c r="K8" s="73"/>
      <c r="L8" s="73"/>
      <c r="M8" s="73"/>
    </row>
    <row r="9" ht="21.0" customHeight="1">
      <c r="A9" s="62" t="s">
        <v>358</v>
      </c>
      <c r="B9" s="63">
        <v>0.0</v>
      </c>
      <c r="C9" s="76"/>
      <c r="D9" s="77"/>
      <c r="E9" s="76"/>
      <c r="F9" s="63"/>
      <c r="G9" s="63"/>
      <c r="H9" s="63"/>
      <c r="I9" s="63"/>
      <c r="J9" s="63"/>
      <c r="K9" s="63"/>
      <c r="L9" s="63"/>
      <c r="M9" s="63"/>
    </row>
    <row r="10" ht="19.5" customHeight="1">
      <c r="A10" s="65"/>
      <c r="B10" s="66">
        <v>15.0</v>
      </c>
      <c r="C10" s="69"/>
      <c r="D10" s="68"/>
      <c r="E10" s="69"/>
      <c r="F10" s="66"/>
      <c r="G10" s="66"/>
      <c r="H10" s="66"/>
      <c r="I10" s="66"/>
      <c r="J10" s="66"/>
      <c r="K10" s="66"/>
      <c r="L10" s="66"/>
      <c r="M10" s="66"/>
    </row>
    <row r="11" ht="19.5" customHeight="1">
      <c r="A11" s="65"/>
      <c r="B11" s="66">
        <v>30.0</v>
      </c>
      <c r="C11" s="69"/>
      <c r="D11" s="68"/>
      <c r="E11" s="69"/>
      <c r="F11" s="66"/>
      <c r="G11" s="66"/>
      <c r="H11" s="66"/>
      <c r="I11" s="66"/>
      <c r="J11" s="66"/>
      <c r="K11" s="66"/>
      <c r="L11" s="66"/>
      <c r="M11" s="66"/>
    </row>
    <row r="12" ht="19.5" customHeight="1">
      <c r="A12" s="72"/>
      <c r="B12" s="73">
        <v>45.0</v>
      </c>
      <c r="C12" s="74"/>
      <c r="D12" s="73"/>
      <c r="E12" s="74"/>
      <c r="F12" s="73"/>
      <c r="G12" s="73"/>
      <c r="H12" s="73"/>
      <c r="I12" s="73"/>
      <c r="J12" s="73"/>
      <c r="K12" s="73"/>
      <c r="L12" s="73"/>
      <c r="M12" s="73"/>
    </row>
    <row r="13" ht="21.0" customHeight="1">
      <c r="A13" s="62" t="s">
        <v>359</v>
      </c>
      <c r="B13" s="63">
        <v>0.0</v>
      </c>
      <c r="C13" s="76"/>
      <c r="D13" s="63"/>
      <c r="E13" s="76"/>
      <c r="F13" s="63"/>
      <c r="G13" s="63"/>
      <c r="H13" s="63"/>
      <c r="I13" s="63"/>
      <c r="J13" s="63"/>
      <c r="K13" s="63"/>
      <c r="L13" s="78"/>
      <c r="M13" s="63"/>
    </row>
    <row r="14" ht="19.5" customHeight="1">
      <c r="A14" s="65"/>
      <c r="B14" s="66">
        <v>15.0</v>
      </c>
      <c r="C14" s="67"/>
      <c r="D14" s="66"/>
      <c r="E14" s="69"/>
      <c r="F14" s="66"/>
      <c r="G14" s="66"/>
      <c r="H14" s="66"/>
      <c r="I14" s="66"/>
      <c r="J14" s="66"/>
      <c r="K14" s="66"/>
      <c r="L14" s="79"/>
      <c r="M14" s="66"/>
    </row>
    <row r="15" ht="19.5" customHeight="1">
      <c r="A15" s="65"/>
      <c r="B15" s="66">
        <v>30.0</v>
      </c>
      <c r="C15" s="67"/>
      <c r="D15" s="66"/>
      <c r="E15" s="69"/>
      <c r="F15" s="66"/>
      <c r="G15" s="66"/>
      <c r="H15" s="66"/>
      <c r="I15" s="66"/>
      <c r="J15" s="66"/>
      <c r="K15" s="66"/>
      <c r="L15" s="80"/>
      <c r="M15" s="66"/>
    </row>
    <row r="16" ht="19.5" customHeight="1">
      <c r="A16" s="72"/>
      <c r="B16" s="73">
        <v>45.0</v>
      </c>
      <c r="C16" s="81"/>
      <c r="D16" s="73"/>
      <c r="E16" s="74"/>
      <c r="F16" s="73"/>
      <c r="G16" s="73"/>
      <c r="H16" s="73"/>
      <c r="I16" s="73"/>
      <c r="J16" s="73"/>
      <c r="K16" s="73"/>
      <c r="L16" s="82"/>
      <c r="M16" s="73"/>
    </row>
    <row r="17" ht="21.0" customHeight="1">
      <c r="A17" s="62" t="s">
        <v>360</v>
      </c>
      <c r="B17" s="63">
        <v>0.0</v>
      </c>
      <c r="C17" s="83"/>
      <c r="D17" s="84"/>
      <c r="E17" s="76"/>
      <c r="F17" s="63"/>
      <c r="G17" s="63"/>
      <c r="H17" s="63"/>
      <c r="I17" s="63"/>
      <c r="J17" s="63"/>
      <c r="K17" s="63"/>
      <c r="L17" s="78"/>
      <c r="M17" s="63"/>
    </row>
    <row r="18" ht="19.5" customHeight="1">
      <c r="A18" s="65"/>
      <c r="B18" s="66">
        <v>15.0</v>
      </c>
      <c r="C18" s="67"/>
      <c r="D18" s="79"/>
      <c r="E18" s="69"/>
      <c r="F18" s="66"/>
      <c r="G18" s="66"/>
      <c r="H18" s="66"/>
      <c r="I18" s="66"/>
      <c r="J18" s="66"/>
      <c r="K18" s="66"/>
      <c r="L18" s="79"/>
      <c r="M18" s="66"/>
    </row>
    <row r="19" ht="19.5" customHeight="1">
      <c r="A19" s="65"/>
      <c r="B19" s="66">
        <v>30.0</v>
      </c>
      <c r="C19" s="85"/>
      <c r="D19" s="79"/>
      <c r="E19" s="69"/>
      <c r="F19" s="66"/>
      <c r="G19" s="66"/>
      <c r="H19" s="66"/>
      <c r="I19" s="66"/>
      <c r="J19" s="66"/>
      <c r="K19" s="66"/>
      <c r="L19" s="80"/>
      <c r="M19" s="66"/>
    </row>
    <row r="20" ht="19.5" customHeight="1">
      <c r="A20" s="72"/>
      <c r="B20" s="73">
        <v>45.0</v>
      </c>
      <c r="C20" s="86"/>
      <c r="D20" s="82"/>
      <c r="E20" s="74"/>
      <c r="F20" s="73"/>
      <c r="G20" s="73"/>
      <c r="H20" s="73"/>
      <c r="I20" s="73"/>
      <c r="J20" s="73"/>
      <c r="K20" s="73"/>
      <c r="L20" s="82"/>
      <c r="M20" s="73"/>
    </row>
    <row r="21" ht="21.0" customHeight="1">
      <c r="A21" s="62" t="s">
        <v>361</v>
      </c>
      <c r="B21" s="63">
        <v>0.0</v>
      </c>
      <c r="C21" s="87"/>
      <c r="D21" s="63"/>
      <c r="E21" s="76"/>
      <c r="F21" s="63"/>
      <c r="G21" s="63"/>
      <c r="H21" s="63"/>
      <c r="I21" s="63"/>
      <c r="J21" s="63"/>
      <c r="K21" s="63"/>
      <c r="L21" s="63"/>
      <c r="M21" s="63"/>
    </row>
    <row r="22" ht="19.5" customHeight="1">
      <c r="A22" s="65"/>
      <c r="B22" s="66">
        <v>15.0</v>
      </c>
      <c r="C22" s="69"/>
      <c r="D22" s="79"/>
      <c r="E22" s="69"/>
      <c r="F22" s="66"/>
      <c r="G22" s="66"/>
      <c r="H22" s="66"/>
      <c r="I22" s="66"/>
      <c r="J22" s="66"/>
      <c r="K22" s="66"/>
      <c r="L22" s="80"/>
      <c r="M22" s="66"/>
    </row>
    <row r="23" ht="19.5" customHeight="1">
      <c r="A23" s="65"/>
      <c r="B23" s="66">
        <v>30.0</v>
      </c>
      <c r="C23" s="88"/>
      <c r="D23" s="79"/>
      <c r="E23" s="69"/>
      <c r="F23" s="66"/>
      <c r="G23" s="66"/>
      <c r="H23" s="66"/>
      <c r="I23" s="66"/>
      <c r="J23" s="66"/>
      <c r="K23" s="66"/>
      <c r="L23" s="79"/>
      <c r="M23" s="66"/>
    </row>
    <row r="24" ht="19.5" customHeight="1">
      <c r="A24" s="72"/>
      <c r="B24" s="73">
        <v>45.0</v>
      </c>
      <c r="C24" s="81"/>
      <c r="D24" s="82"/>
      <c r="E24" s="74"/>
      <c r="F24" s="73"/>
      <c r="G24" s="73"/>
      <c r="H24" s="73"/>
      <c r="I24" s="73"/>
      <c r="J24" s="73"/>
      <c r="K24" s="73"/>
      <c r="L24" s="73"/>
      <c r="M24" s="73"/>
    </row>
    <row r="25" ht="21.0" customHeight="1">
      <c r="A25" s="62" t="s">
        <v>362</v>
      </c>
      <c r="B25" s="63">
        <v>0.0</v>
      </c>
      <c r="C25" s="83"/>
      <c r="D25" s="84"/>
      <c r="E25" s="76"/>
      <c r="F25" s="63"/>
      <c r="G25" s="63"/>
      <c r="H25" s="63"/>
      <c r="I25" s="63"/>
      <c r="J25" s="63"/>
      <c r="K25" s="63"/>
      <c r="L25" s="63"/>
      <c r="M25" s="63"/>
    </row>
    <row r="26" ht="19.5" customHeight="1">
      <c r="A26" s="65"/>
      <c r="B26" s="66">
        <v>15.0</v>
      </c>
      <c r="C26" s="67"/>
      <c r="D26" s="79"/>
      <c r="E26" s="69"/>
      <c r="F26" s="66"/>
      <c r="G26" s="66"/>
      <c r="H26" s="66"/>
      <c r="I26" s="66"/>
      <c r="J26" s="66"/>
      <c r="K26" s="66"/>
      <c r="L26" s="80"/>
      <c r="M26" s="66"/>
    </row>
    <row r="27" ht="19.5" customHeight="1">
      <c r="A27" s="65"/>
      <c r="B27" s="66">
        <v>30.0</v>
      </c>
      <c r="C27" s="67"/>
      <c r="D27" s="79"/>
      <c r="E27" s="67"/>
      <c r="F27" s="66"/>
      <c r="G27" s="66"/>
      <c r="H27" s="66"/>
      <c r="I27" s="66"/>
      <c r="J27" s="66"/>
      <c r="K27" s="66"/>
      <c r="L27" s="79"/>
      <c r="M27" s="66"/>
    </row>
    <row r="28" ht="19.5" customHeight="1">
      <c r="A28" s="72"/>
      <c r="B28" s="73">
        <v>45.0</v>
      </c>
      <c r="C28" s="81"/>
      <c r="D28" s="73"/>
      <c r="E28" s="81"/>
      <c r="F28" s="73"/>
      <c r="G28" s="73"/>
      <c r="H28" s="73"/>
      <c r="I28" s="73"/>
      <c r="J28" s="73"/>
      <c r="K28" s="73"/>
      <c r="L28" s="73"/>
      <c r="M28" s="73"/>
    </row>
    <row r="29" ht="12.75" customHeight="1">
      <c r="A29" s="89" t="s">
        <v>363</v>
      </c>
      <c r="B29" s="63">
        <v>0.0</v>
      </c>
      <c r="C29" s="76"/>
      <c r="D29" s="63"/>
      <c r="E29" s="76"/>
      <c r="F29" s="63"/>
      <c r="G29" s="63"/>
      <c r="H29" s="63"/>
      <c r="I29" s="63"/>
      <c r="J29" s="63"/>
      <c r="K29" s="63"/>
      <c r="L29" s="63"/>
      <c r="M29" s="63"/>
    </row>
    <row r="30" ht="12.75" customHeight="1">
      <c r="A30" s="65"/>
      <c r="B30" s="66">
        <v>15.0</v>
      </c>
      <c r="C30" s="69"/>
      <c r="D30" s="66"/>
      <c r="E30" s="69"/>
      <c r="F30" s="66"/>
      <c r="G30" s="66"/>
      <c r="H30" s="66"/>
      <c r="I30" s="66"/>
      <c r="J30" s="66"/>
      <c r="K30" s="66"/>
      <c r="L30" s="66"/>
      <c r="M30" s="66"/>
    </row>
    <row r="31" ht="12.75" customHeight="1">
      <c r="A31" s="65"/>
      <c r="B31" s="66">
        <v>30.0</v>
      </c>
      <c r="C31" s="69"/>
      <c r="D31" s="66"/>
      <c r="E31" s="69"/>
      <c r="F31" s="66"/>
      <c r="G31" s="66"/>
      <c r="H31" s="66"/>
      <c r="I31" s="66"/>
      <c r="J31" s="66"/>
      <c r="K31" s="66"/>
      <c r="L31" s="66"/>
      <c r="M31" s="66"/>
    </row>
    <row r="32" ht="12.75" customHeight="1">
      <c r="A32" s="72"/>
      <c r="B32" s="73">
        <v>45.0</v>
      </c>
      <c r="C32" s="74"/>
      <c r="D32" s="73"/>
      <c r="E32" s="74"/>
      <c r="F32" s="73"/>
      <c r="G32" s="73"/>
      <c r="H32" s="73"/>
      <c r="I32" s="73"/>
      <c r="J32" s="73"/>
      <c r="K32" s="73"/>
      <c r="L32" s="73"/>
      <c r="M32" s="73"/>
    </row>
    <row r="33" ht="12.75" customHeight="1">
      <c r="A33" s="89" t="s">
        <v>364</v>
      </c>
      <c r="B33" s="63">
        <v>0.0</v>
      </c>
      <c r="C33" s="76"/>
      <c r="D33" s="63"/>
      <c r="E33" s="76"/>
      <c r="F33" s="63"/>
      <c r="G33" s="63"/>
      <c r="H33" s="63"/>
      <c r="I33" s="63"/>
      <c r="J33" s="63"/>
      <c r="K33" s="63"/>
      <c r="L33" s="63"/>
      <c r="M33" s="63"/>
    </row>
    <row r="34" ht="12.75" customHeight="1">
      <c r="A34" s="65"/>
      <c r="B34" s="66">
        <v>15.0</v>
      </c>
      <c r="C34" s="69"/>
      <c r="D34" s="66"/>
      <c r="E34" s="69"/>
      <c r="F34" s="66"/>
      <c r="G34" s="66"/>
      <c r="H34" s="66"/>
      <c r="I34" s="66"/>
      <c r="J34" s="66"/>
      <c r="K34" s="66"/>
      <c r="L34" s="66"/>
      <c r="M34" s="66"/>
    </row>
    <row r="35" ht="12.75" customHeight="1">
      <c r="A35" s="65"/>
      <c r="B35" s="66">
        <v>30.0</v>
      </c>
      <c r="C35" s="69"/>
      <c r="D35" s="66"/>
      <c r="E35" s="69"/>
      <c r="F35" s="66"/>
      <c r="G35" s="66"/>
      <c r="H35" s="66"/>
      <c r="I35" s="66"/>
      <c r="J35" s="66"/>
      <c r="K35" s="66"/>
      <c r="L35" s="66"/>
      <c r="M35" s="66"/>
    </row>
    <row r="36" ht="12.75" customHeight="1">
      <c r="A36" s="72"/>
      <c r="B36" s="73">
        <v>45.0</v>
      </c>
      <c r="C36" s="74"/>
      <c r="D36" s="73"/>
      <c r="E36" s="74"/>
      <c r="F36" s="73"/>
      <c r="G36" s="73"/>
      <c r="H36" s="73"/>
      <c r="I36" s="73"/>
      <c r="J36" s="73"/>
      <c r="K36" s="73"/>
      <c r="L36" s="73"/>
      <c r="M36" s="73"/>
    </row>
    <row r="37" ht="12.75" customHeight="1">
      <c r="A37" s="89" t="s">
        <v>365</v>
      </c>
      <c r="B37" s="63">
        <v>0.0</v>
      </c>
      <c r="C37" s="76"/>
      <c r="D37" s="63"/>
      <c r="E37" s="76"/>
      <c r="F37" s="63"/>
      <c r="G37" s="63"/>
      <c r="H37" s="63"/>
      <c r="I37" s="63"/>
      <c r="J37" s="63"/>
      <c r="K37" s="63"/>
      <c r="L37" s="63"/>
      <c r="M37" s="63"/>
    </row>
    <row r="38" ht="12.75" customHeight="1">
      <c r="A38" s="65"/>
      <c r="B38" s="66">
        <v>15.0</v>
      </c>
      <c r="C38" s="69"/>
      <c r="D38" s="66"/>
      <c r="E38" s="69"/>
      <c r="F38" s="66"/>
      <c r="G38" s="66"/>
      <c r="H38" s="66"/>
      <c r="I38" s="66"/>
      <c r="J38" s="66"/>
      <c r="K38" s="66"/>
      <c r="L38" s="66"/>
      <c r="M38" s="66"/>
    </row>
    <row r="39" ht="12.75" customHeight="1">
      <c r="A39" s="65"/>
      <c r="B39" s="66">
        <v>30.0</v>
      </c>
      <c r="C39" s="69"/>
      <c r="D39" s="66"/>
      <c r="E39" s="69"/>
      <c r="F39" s="66"/>
      <c r="G39" s="66"/>
      <c r="H39" s="66"/>
      <c r="I39" s="66"/>
      <c r="J39" s="66"/>
      <c r="K39" s="66"/>
      <c r="L39" s="66"/>
      <c r="M39" s="66"/>
    </row>
    <row r="40" ht="12.75" customHeight="1">
      <c r="A40" s="72"/>
      <c r="B40" s="73">
        <v>45.0</v>
      </c>
      <c r="C40" s="74"/>
      <c r="D40" s="73"/>
      <c r="E40" s="74"/>
      <c r="F40" s="73"/>
      <c r="G40" s="73"/>
      <c r="H40" s="73"/>
      <c r="I40" s="73"/>
      <c r="J40" s="73"/>
      <c r="K40" s="73"/>
      <c r="L40" s="73"/>
      <c r="M40" s="73"/>
    </row>
    <row r="41" ht="12.75" customHeight="1">
      <c r="A41" s="89" t="s">
        <v>366</v>
      </c>
      <c r="B41" s="63">
        <v>0.0</v>
      </c>
      <c r="C41" s="76"/>
      <c r="D41" s="63"/>
      <c r="E41" s="76"/>
      <c r="F41" s="63"/>
      <c r="G41" s="63"/>
      <c r="H41" s="63"/>
      <c r="I41" s="63"/>
      <c r="J41" s="63"/>
      <c r="K41" s="63"/>
      <c r="L41" s="63"/>
      <c r="M41" s="63"/>
    </row>
    <row r="42" ht="12.75" customHeight="1">
      <c r="A42" s="65"/>
      <c r="B42" s="66">
        <v>15.0</v>
      </c>
      <c r="C42" s="69"/>
      <c r="D42" s="66"/>
      <c r="E42" s="69"/>
      <c r="F42" s="66"/>
      <c r="G42" s="66"/>
      <c r="H42" s="66"/>
      <c r="I42" s="66"/>
      <c r="J42" s="66"/>
      <c r="K42" s="66"/>
      <c r="L42" s="66"/>
      <c r="M42" s="66"/>
    </row>
    <row r="43" ht="12.75" customHeight="1">
      <c r="A43" s="65"/>
      <c r="B43" s="66">
        <v>30.0</v>
      </c>
      <c r="C43" s="69"/>
      <c r="D43" s="66"/>
      <c r="E43" s="69"/>
      <c r="F43" s="66"/>
      <c r="G43" s="66"/>
      <c r="H43" s="66"/>
      <c r="I43" s="66"/>
      <c r="J43" s="66"/>
      <c r="K43" s="66"/>
      <c r="L43" s="66"/>
      <c r="M43" s="66"/>
    </row>
    <row r="44" ht="12.75" customHeight="1">
      <c r="A44" s="72"/>
      <c r="B44" s="73">
        <v>45.0</v>
      </c>
      <c r="C44" s="74"/>
      <c r="D44" s="73"/>
      <c r="E44" s="74"/>
      <c r="F44" s="73"/>
      <c r="G44" s="73"/>
      <c r="H44" s="73"/>
      <c r="I44" s="73"/>
      <c r="J44" s="73"/>
      <c r="K44" s="73"/>
      <c r="L44" s="73"/>
      <c r="M44" s="73"/>
    </row>
    <row r="45" ht="12.75" customHeight="1">
      <c r="A45" s="89" t="s">
        <v>367</v>
      </c>
      <c r="B45" s="63">
        <v>0.0</v>
      </c>
      <c r="C45" s="76"/>
      <c r="D45" s="63"/>
      <c r="E45" s="76"/>
      <c r="F45" s="63"/>
      <c r="G45" s="63"/>
      <c r="H45" s="63"/>
      <c r="I45" s="63"/>
      <c r="J45" s="63"/>
      <c r="K45" s="63"/>
      <c r="L45" s="63"/>
      <c r="M45" s="63"/>
    </row>
    <row r="46" ht="12.75" customHeight="1">
      <c r="A46" s="65"/>
      <c r="B46" s="66">
        <v>15.0</v>
      </c>
      <c r="C46" s="69"/>
      <c r="D46" s="66"/>
      <c r="E46" s="69"/>
      <c r="F46" s="66"/>
      <c r="G46" s="66"/>
      <c r="H46" s="66"/>
      <c r="I46" s="66"/>
      <c r="J46" s="66"/>
      <c r="K46" s="66"/>
      <c r="L46" s="66"/>
      <c r="M46" s="66"/>
    </row>
    <row r="47" ht="12.75" customHeight="1">
      <c r="A47" s="65"/>
      <c r="B47" s="66">
        <v>30.0</v>
      </c>
      <c r="C47" s="69"/>
      <c r="D47" s="66"/>
      <c r="E47" s="69"/>
      <c r="F47" s="66"/>
      <c r="G47" s="66"/>
      <c r="H47" s="66"/>
      <c r="I47" s="66"/>
      <c r="J47" s="66"/>
      <c r="K47" s="66"/>
      <c r="L47" s="66"/>
      <c r="M47" s="66"/>
    </row>
    <row r="48" ht="12.75" customHeight="1">
      <c r="A48" s="72"/>
      <c r="B48" s="73">
        <v>45.0</v>
      </c>
      <c r="C48" s="74"/>
      <c r="D48" s="73"/>
      <c r="E48" s="74"/>
      <c r="F48" s="73"/>
      <c r="G48" s="73"/>
      <c r="H48" s="73"/>
      <c r="I48" s="73"/>
      <c r="J48" s="73"/>
      <c r="K48" s="73"/>
      <c r="L48" s="73"/>
      <c r="M48" s="73"/>
    </row>
    <row r="49" ht="12.75" customHeight="1">
      <c r="A49" s="89" t="s">
        <v>368</v>
      </c>
      <c r="B49" s="63">
        <v>0.0</v>
      </c>
      <c r="C49" s="76"/>
      <c r="D49" s="63"/>
      <c r="E49" s="76"/>
      <c r="F49" s="63"/>
      <c r="G49" s="63"/>
      <c r="H49" s="63"/>
      <c r="I49" s="63"/>
      <c r="J49" s="63"/>
      <c r="K49" s="63"/>
      <c r="L49" s="63"/>
      <c r="M49" s="63"/>
    </row>
    <row r="50" ht="12.75" customHeight="1">
      <c r="A50" s="65"/>
      <c r="B50" s="66">
        <v>15.0</v>
      </c>
      <c r="C50" s="69"/>
      <c r="D50" s="66"/>
      <c r="E50" s="69"/>
      <c r="F50" s="66"/>
      <c r="G50" s="66"/>
      <c r="H50" s="66"/>
      <c r="I50" s="66"/>
      <c r="J50" s="66"/>
      <c r="K50" s="66"/>
      <c r="L50" s="66"/>
      <c r="M50" s="66"/>
    </row>
    <row r="51" ht="12.75" customHeight="1">
      <c r="A51" s="65"/>
      <c r="B51" s="66">
        <v>30.0</v>
      </c>
      <c r="C51" s="69"/>
      <c r="D51" s="66"/>
      <c r="E51" s="69"/>
      <c r="F51" s="66"/>
      <c r="G51" s="66"/>
      <c r="H51" s="66"/>
      <c r="I51" s="66"/>
      <c r="J51" s="66"/>
      <c r="K51" s="66"/>
      <c r="L51" s="66"/>
      <c r="M51" s="66"/>
    </row>
    <row r="52" ht="12.75" customHeight="1">
      <c r="A52" s="72"/>
      <c r="B52" s="73">
        <v>45.0</v>
      </c>
      <c r="C52" s="74"/>
      <c r="D52" s="73"/>
      <c r="E52" s="74"/>
      <c r="F52" s="73"/>
      <c r="G52" s="73"/>
      <c r="H52" s="73"/>
      <c r="I52" s="73"/>
      <c r="J52" s="73"/>
      <c r="K52" s="73"/>
      <c r="L52" s="73"/>
      <c r="M52" s="73"/>
    </row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5">
    <mergeCell ref="A21:A24"/>
    <mergeCell ref="A25:A28"/>
    <mergeCell ref="A29:A32"/>
    <mergeCell ref="A33:A36"/>
    <mergeCell ref="A37:A40"/>
    <mergeCell ref="A41:A44"/>
    <mergeCell ref="A45:A48"/>
    <mergeCell ref="A49:A52"/>
    <mergeCell ref="A1:F1"/>
    <mergeCell ref="B2:C2"/>
    <mergeCell ref="A4:B4"/>
    <mergeCell ref="A5:A8"/>
    <mergeCell ref="A9:A12"/>
    <mergeCell ref="A13:A16"/>
    <mergeCell ref="A17:A20"/>
  </mergeCells>
  <printOptions/>
  <pageMargins bottom="1.0" footer="0.0" header="0.0" left="0.75" right="0.75" top="1.0"/>
  <pageSetup scale="8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4" max="4" width="24.43"/>
    <col customWidth="1" hidden="1" min="5" max="5" width="18.86"/>
    <col customWidth="1" min="6" max="6" width="22.57"/>
    <col customWidth="1" min="7" max="7" width="23.14"/>
  </cols>
  <sheetData>
    <row r="1">
      <c r="A1" s="90" t="str">
        <f>'Sales Report'!A1</f>
        <v>NUAD THAI NEPAL
Lazimpat</v>
      </c>
    </row>
    <row r="2">
      <c r="A2" s="91" t="s">
        <v>369</v>
      </c>
    </row>
    <row r="3">
      <c r="A3" s="92">
        <f>'Sales Report'!B4</f>
        <v>46012</v>
      </c>
    </row>
    <row r="4">
      <c r="A4" s="93" t="s">
        <v>370</v>
      </c>
      <c r="B4" s="93" t="s">
        <v>371</v>
      </c>
      <c r="C4" s="94"/>
      <c r="D4" s="93" t="s">
        <v>372</v>
      </c>
      <c r="E4" s="93" t="s">
        <v>373</v>
      </c>
      <c r="F4" s="93" t="s">
        <v>374</v>
      </c>
      <c r="G4" s="93" t="s">
        <v>375</v>
      </c>
    </row>
    <row r="5">
      <c r="A5" s="93" t="s">
        <v>50</v>
      </c>
      <c r="B5" s="95">
        <f>sumif('Sales Report'!$O$7:$O$77,A5,'Sales Report'!$M$7:$M$77)</f>
        <v>0</v>
      </c>
      <c r="D5" s="96" t="str">
        <f>Attendance!B8</f>
        <v/>
      </c>
      <c r="E5" s="96">
        <f>SUMIF('Sales Report'!$P$7:$P$77,D5,'Sales Report'!$R$7:$R$77)</f>
        <v>0</v>
      </c>
      <c r="F5" s="97" t="str">
        <f t="shared" ref="F5:F27" si="1">IF(E5&gt;0, INT(E5/60) &amp; " hr and " &amp; MOD(E5, 60) &amp; " min", "-")</f>
        <v>-</v>
      </c>
      <c r="G5" s="96"/>
      <c r="H5" s="98"/>
    </row>
    <row r="6">
      <c r="A6" s="93" t="s">
        <v>376</v>
      </c>
      <c r="B6" s="95">
        <f>sum(B7:B9)</f>
        <v>0</v>
      </c>
      <c r="D6" s="96" t="str">
        <f>Attendance!B9</f>
        <v/>
      </c>
      <c r="E6" s="96">
        <f>SUMIF('Sales Report'!$P$7:$P$77,D6,'Sales Report'!$R$7:$R$77)</f>
        <v>0</v>
      </c>
      <c r="F6" s="97" t="str">
        <f t="shared" si="1"/>
        <v>-</v>
      </c>
      <c r="G6" s="96"/>
      <c r="H6" s="99"/>
    </row>
    <row r="7">
      <c r="A7" s="100" t="s">
        <v>55</v>
      </c>
      <c r="B7" s="97">
        <f>sumif('Sales Report'!$O$7:$O$77,A7,'Sales Report'!$M$7:$M$77)</f>
        <v>0</v>
      </c>
      <c r="D7" s="96" t="str">
        <f>Attendance!B10</f>
        <v/>
      </c>
      <c r="E7" s="96">
        <f>SUMIF('Sales Report'!$P$7:$P$77,D7,'Sales Report'!$R$7:$R$77)</f>
        <v>0</v>
      </c>
      <c r="F7" s="97" t="str">
        <f t="shared" si="1"/>
        <v>-</v>
      </c>
      <c r="G7" s="100"/>
      <c r="H7" s="99"/>
    </row>
    <row r="8">
      <c r="A8" s="100" t="s">
        <v>60</v>
      </c>
      <c r="B8" s="97">
        <f>sumif('Sales Report'!$O$7:$O$77,A8,'Sales Report'!$M$7:$M$77)</f>
        <v>0</v>
      </c>
      <c r="D8" s="96" t="str">
        <f>Attendance!B11</f>
        <v/>
      </c>
      <c r="E8" s="96">
        <f>SUMIF('Sales Report'!$P$7:$P$77,D8,'Sales Report'!$R$7:$R$77)</f>
        <v>0</v>
      </c>
      <c r="F8" s="97" t="str">
        <f t="shared" si="1"/>
        <v>-</v>
      </c>
      <c r="G8" s="96"/>
    </row>
    <row r="9">
      <c r="A9" s="100" t="s">
        <v>66</v>
      </c>
      <c r="B9" s="97">
        <f>sumif('Sales Report'!$O$7:$O$77,A9,'Sales Report'!$M$7:$M$77)</f>
        <v>0</v>
      </c>
      <c r="D9" s="96" t="str">
        <f>Attendance!B12</f>
        <v/>
      </c>
      <c r="E9" s="96">
        <f>SUMIF('Sales Report'!$P$7:$P$77,D9,'Sales Report'!$R$7:$R$77)</f>
        <v>0</v>
      </c>
      <c r="F9" s="97" t="str">
        <f t="shared" si="1"/>
        <v>-</v>
      </c>
      <c r="G9" s="96"/>
    </row>
    <row r="10">
      <c r="A10" s="93" t="s">
        <v>71</v>
      </c>
      <c r="B10" s="95">
        <f>sumif('Sales Report'!$O$7:$O$77,A10,'Sales Report'!$M$7:$M$77)</f>
        <v>0</v>
      </c>
      <c r="D10" s="96" t="str">
        <f>Attendance!B13</f>
        <v/>
      </c>
      <c r="E10" s="96">
        <f>SUMIF('Sales Report'!$P$7:$P$77,D10,'Sales Report'!$R$7:$R$77)</f>
        <v>0</v>
      </c>
      <c r="F10" s="97" t="str">
        <f t="shared" si="1"/>
        <v>-</v>
      </c>
      <c r="G10" s="96"/>
    </row>
    <row r="11">
      <c r="A11" s="93" t="s">
        <v>76</v>
      </c>
      <c r="B11" s="95">
        <f>sumif('Sales Report'!$O$7:$O$77,A11,'Sales Report'!$M$7:$M$77)</f>
        <v>0</v>
      </c>
      <c r="D11" s="96" t="str">
        <f>Attendance!B14</f>
        <v/>
      </c>
      <c r="E11" s="96">
        <f>SUMIF('Sales Report'!$P$7:$P$77,D11,'Sales Report'!$R$7:$R$77)</f>
        <v>0</v>
      </c>
      <c r="F11" s="97" t="str">
        <f t="shared" si="1"/>
        <v>-</v>
      </c>
      <c r="G11" s="96"/>
    </row>
    <row r="12">
      <c r="A12" s="93" t="s">
        <v>81</v>
      </c>
      <c r="B12" s="95">
        <f>sumif('Sales Report'!$O$7:$O$77,A12,'Sales Report'!$M$7:$M$77)</f>
        <v>0</v>
      </c>
      <c r="D12" s="96" t="str">
        <f>Attendance!B15</f>
        <v/>
      </c>
      <c r="E12" s="96">
        <f>SUMIF('Sales Report'!$P$7:$P$77,D12,'Sales Report'!$R$7:$R$77)</f>
        <v>0</v>
      </c>
      <c r="F12" s="97" t="str">
        <f t="shared" si="1"/>
        <v>-</v>
      </c>
      <c r="G12" s="96"/>
    </row>
    <row r="13">
      <c r="A13" s="93" t="s">
        <v>377</v>
      </c>
      <c r="B13" s="95">
        <f>B5+B6+B10+B11+B12</f>
        <v>0</v>
      </c>
      <c r="D13" s="96" t="str">
        <f>Attendance!B16</f>
        <v/>
      </c>
      <c r="E13" s="96">
        <f>SUMIF('Sales Report'!$P$7:$P$77,D13,'Sales Report'!$R$7:$R$77)</f>
        <v>0</v>
      </c>
      <c r="F13" s="97" t="str">
        <f t="shared" si="1"/>
        <v>-</v>
      </c>
      <c r="G13" s="96"/>
    </row>
    <row r="14">
      <c r="A14" s="100" t="s">
        <v>86</v>
      </c>
      <c r="B14" s="97">
        <f>sumif('Sales Report'!O7:O77,A14,'Sales Report'!J7:J77)</f>
        <v>0</v>
      </c>
      <c r="D14" s="96" t="str">
        <f>Attendance!B17</f>
        <v/>
      </c>
      <c r="E14" s="96">
        <f>SUMIF('Sales Report'!$P$7:$P$77,D14,'Sales Report'!$R$7:$R$77)</f>
        <v>0</v>
      </c>
      <c r="F14" s="97" t="str">
        <f t="shared" si="1"/>
        <v>-</v>
      </c>
      <c r="G14" s="96"/>
    </row>
    <row r="15">
      <c r="A15" s="101"/>
      <c r="D15" s="96" t="str">
        <f>Attendance!B18</f>
        <v/>
      </c>
      <c r="E15" s="96">
        <f>SUMIF('Sales Report'!$P$7:$P$77,D15,'Sales Report'!$R$7:$R$77)</f>
        <v>0</v>
      </c>
      <c r="F15" s="97" t="str">
        <f t="shared" si="1"/>
        <v>-</v>
      </c>
      <c r="G15" s="96"/>
    </row>
    <row r="16">
      <c r="A16" s="101"/>
      <c r="D16" s="96" t="str">
        <f>Attendance!B19</f>
        <v/>
      </c>
      <c r="E16" s="96">
        <f>SUMIF('Sales Report'!$P$7:$P$77,D16,'Sales Report'!$R$7:$R$77)</f>
        <v>0</v>
      </c>
      <c r="F16" s="97" t="str">
        <f t="shared" si="1"/>
        <v>-</v>
      </c>
      <c r="G16" s="96"/>
    </row>
    <row r="17">
      <c r="A17" s="101"/>
      <c r="D17" s="96" t="str">
        <f>Attendance!B20</f>
        <v/>
      </c>
      <c r="E17" s="96">
        <f>SUMIF('Sales Report'!$P$7:$P$77,D17,'Sales Report'!$R$7:$R$77)</f>
        <v>0</v>
      </c>
      <c r="F17" s="97" t="str">
        <f t="shared" si="1"/>
        <v>-</v>
      </c>
      <c r="G17" s="96"/>
    </row>
    <row r="18">
      <c r="A18" s="101"/>
      <c r="D18" s="96" t="str">
        <f>Attendance!B21</f>
        <v/>
      </c>
      <c r="E18" s="96">
        <f>SUMIF('Sales Report'!$P$7:$P$77,D18,'Sales Report'!$R$7:$R$77)</f>
        <v>0</v>
      </c>
      <c r="F18" s="97" t="str">
        <f t="shared" si="1"/>
        <v>-</v>
      </c>
      <c r="G18" s="100"/>
    </row>
    <row r="19">
      <c r="A19" s="101"/>
      <c r="D19" s="96" t="str">
        <f>Attendance!B22</f>
        <v/>
      </c>
      <c r="E19" s="96">
        <f>SUMIF('Sales Report'!$P$7:$P$77,D19,'Sales Report'!$R$7:$R$77)</f>
        <v>0</v>
      </c>
      <c r="F19" s="97" t="str">
        <f t="shared" si="1"/>
        <v>-</v>
      </c>
      <c r="G19" s="96"/>
    </row>
    <row r="20">
      <c r="A20" s="101"/>
      <c r="D20" s="96" t="str">
        <f>Attendance!B22</f>
        <v/>
      </c>
      <c r="E20" s="96">
        <f>SUMIF('Sales Report'!$P$7:$P$77,D20,'Sales Report'!$R$7:$R$77)</f>
        <v>0</v>
      </c>
      <c r="F20" s="97" t="str">
        <f t="shared" si="1"/>
        <v>-</v>
      </c>
      <c r="G20" s="96"/>
    </row>
    <row r="21">
      <c r="A21" s="101"/>
      <c r="D21" s="96" t="str">
        <f>Attendance!B23</f>
        <v/>
      </c>
      <c r="E21" s="96">
        <f>SUMIF('Sales Report'!$P$7:$P$77,D21,'Sales Report'!$R$7:$R$77)</f>
        <v>0</v>
      </c>
      <c r="F21" s="97" t="str">
        <f t="shared" si="1"/>
        <v>-</v>
      </c>
      <c r="G21" s="96"/>
    </row>
    <row r="22">
      <c r="A22" s="101"/>
      <c r="D22" s="96" t="str">
        <f>Attendance!B24</f>
        <v/>
      </c>
      <c r="E22" s="96">
        <f>SUMIF('Sales Report'!$P$7:$P$77,D22,'Sales Report'!$R$7:$R$77)</f>
        <v>0</v>
      </c>
      <c r="F22" s="97" t="str">
        <f t="shared" si="1"/>
        <v>-</v>
      </c>
      <c r="G22" s="96"/>
    </row>
    <row r="23">
      <c r="A23" s="101"/>
      <c r="D23" s="96" t="str">
        <f>Attendance!B25</f>
        <v/>
      </c>
      <c r="E23" s="96">
        <f>SUMIF('Sales Report'!$P$7:$P$77,D23,'Sales Report'!$R$7:$R$77)</f>
        <v>0</v>
      </c>
      <c r="F23" s="97" t="str">
        <f t="shared" si="1"/>
        <v>-</v>
      </c>
      <c r="G23" s="96"/>
    </row>
    <row r="24">
      <c r="A24" s="101"/>
      <c r="D24" s="96" t="str">
        <f>Attendance!B26</f>
        <v/>
      </c>
      <c r="E24" s="96">
        <f>SUMIF('Sales Report'!$P$7:$P$77,D24,'Sales Report'!$R$7:$R$77)</f>
        <v>0</v>
      </c>
      <c r="F24" s="97" t="str">
        <f t="shared" si="1"/>
        <v>-</v>
      </c>
      <c r="G24" s="96"/>
    </row>
    <row r="25">
      <c r="A25" s="101"/>
      <c r="D25" s="96" t="str">
        <f>Attendance!B27</f>
        <v/>
      </c>
      <c r="E25" s="96">
        <f>SUMIF('Sales Report'!$P$7:$P$77,D25,'Sales Report'!$R$7:$R$77)</f>
        <v>0</v>
      </c>
      <c r="F25" s="97" t="str">
        <f t="shared" si="1"/>
        <v>-</v>
      </c>
      <c r="G25" s="96"/>
    </row>
    <row r="26">
      <c r="A26" s="101"/>
      <c r="D26" s="96" t="str">
        <f>Attendance!B28</f>
        <v/>
      </c>
      <c r="E26" s="96">
        <f>SUMIF('Sales Report'!$P$7:$P$77,D26,'Sales Report'!$R$7:$R$77)</f>
        <v>0</v>
      </c>
      <c r="F26" s="97" t="str">
        <f t="shared" si="1"/>
        <v>-</v>
      </c>
      <c r="G26" s="96"/>
    </row>
    <row r="27">
      <c r="A27" s="101"/>
      <c r="D27" s="96" t="str">
        <f>Attendance!B29</f>
        <v/>
      </c>
      <c r="E27" s="102"/>
      <c r="F27" s="97" t="str">
        <f t="shared" si="1"/>
        <v>-</v>
      </c>
      <c r="G27" s="96"/>
    </row>
    <row r="28">
      <c r="A28" s="103"/>
      <c r="B28" s="104"/>
      <c r="C28" s="104"/>
      <c r="D28" s="93" t="s">
        <v>377</v>
      </c>
      <c r="E28" s="102">
        <f>SUM(E5:E26)</f>
        <v>0</v>
      </c>
      <c r="F28" s="95" t="str">
        <f>IF(E28&gt;0, INT(E28/60) &amp; " hr and " &amp; MOD(E28, 60) &amp; " min", "0")</f>
        <v>0</v>
      </c>
      <c r="G28" s="96"/>
    </row>
  </sheetData>
  <mergeCells count="3">
    <mergeCell ref="A1:G1"/>
    <mergeCell ref="A2:F2"/>
    <mergeCell ref="A3:F3"/>
  </mergeCells>
  <drawing r:id="rId1"/>
</worksheet>
</file>